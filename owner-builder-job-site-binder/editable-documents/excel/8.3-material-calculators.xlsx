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rete" sheetId="1" state="visible" r:id="rId1"/>
    <sheet xmlns:r="http://schemas.openxmlformats.org/officeDocument/2006/relationships" name="Drywall" sheetId="2" state="visible" r:id="rId2"/>
    <sheet xmlns:r="http://schemas.openxmlformats.org/officeDocument/2006/relationships" name="Paint" sheetId="3" state="visible" r:id="rId3"/>
    <sheet xmlns:r="http://schemas.openxmlformats.org/officeDocument/2006/relationships" name="Flooring" sheetId="4" state="visible" r:id="rId4"/>
    <sheet xmlns:r="http://schemas.openxmlformats.org/officeDocument/2006/relationships" name="Roof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95959"/>
      <sz val="9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FF6CC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4" fontId="4" fillId="3" borderId="2" applyAlignment="1" applyProtection="1" pivotButton="0" quotePrefix="0" xfId="0">
      <alignment horizontal="right"/>
      <protection locked="0" hidden="0"/>
    </xf>
    <xf numFmtId="9" fontId="4" fillId="3" borderId="2" applyAlignment="1" applyProtection="1" pivotButton="0" quotePrefix="0" xfId="0">
      <alignment horizontal="right"/>
      <protection locked="0" hidden="0"/>
    </xf>
    <xf numFmtId="3" fontId="4" fillId="4" borderId="2" applyAlignment="1" pivotButton="0" quotePrefix="0" xfId="0">
      <alignment horizontal="right"/>
    </xf>
    <xf numFmtId="4" fontId="4" fillId="4" borderId="2" applyAlignment="1" pivotButton="0" quotePrefix="0" xfId="0">
      <alignment horizontal="right"/>
    </xf>
    <xf numFmtId="0" fontId="3" fillId="0" borderId="0" pivotButton="0" quotePrefix="0" xfId="0"/>
    <xf numFmtId="3" fontId="3" fillId="5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/>
    </xf>
    <xf numFmtId="3" fontId="4" fillId="3" borderId="2" applyAlignment="1" applyProtection="1" pivotButton="0" quotePrefix="0" xfId="0">
      <alignment horizontal="right"/>
      <protection locked="0" hidden="0"/>
    </xf>
    <xf numFmtId="2" fontId="4" fillId="3" borderId="2" applyAlignment="1" applyProtection="1" pivotButton="0" quotePrefix="0" xfId="0">
      <alignment horizontal="right"/>
      <protection locked="0" hidden="0"/>
    </xf>
    <xf numFmtId="2" fontId="4" fillId="0" borderId="2" applyAlignment="1" pivotButton="0" quotePrefix="0" xfId="0">
      <alignment horizontal="right"/>
    </xf>
    <xf numFmtId="0" fontId="4" fillId="3" borderId="2" applyAlignment="1" applyProtection="1" pivotButton="0" quotePrefix="0" xfId="0">
      <alignment horizontal="right"/>
      <protection locked="0" hidden="0"/>
    </xf>
    <xf numFmtId="2" fontId="4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30" customWidth="1" min="4" max="4"/>
  </cols>
  <sheetData>
    <row r="1" ht="22" customHeight="1">
      <c r="A1" s="1" t="inlineStr">
        <is>
          <t>CONCRETE CALCULATOR</t>
        </is>
      </c>
    </row>
    <row r="2">
      <c r="A2" s="2" t="inlineStr">
        <is>
          <t>Cubic yards = (Length ft × Width ft × Thickness in) ÷ 324</t>
        </is>
      </c>
    </row>
    <row r="5" ht="20" customHeight="1">
      <c r="A5" s="3" t="inlineStr">
        <is>
          <t>INPUTS — type over the yellow cells</t>
        </is>
      </c>
      <c r="B5" s="4" t="n"/>
      <c r="C5" s="4" t="n"/>
      <c r="D5" s="4" t="n"/>
    </row>
    <row r="6">
      <c r="A6" s="5" t="inlineStr">
        <is>
          <t>Slab length</t>
        </is>
      </c>
      <c r="B6" s="6" t="n">
        <v>20</v>
      </c>
      <c r="C6" s="2" t="inlineStr">
        <is>
          <t>feet</t>
        </is>
      </c>
    </row>
    <row r="7">
      <c r="A7" s="5" t="inlineStr">
        <is>
          <t>Slab width</t>
        </is>
      </c>
      <c r="B7" s="6" t="n">
        <v>30</v>
      </c>
      <c r="C7" s="2" t="inlineStr">
        <is>
          <t>feet</t>
        </is>
      </c>
    </row>
    <row r="8">
      <c r="A8" s="5" t="inlineStr">
        <is>
          <t>Slab thickness</t>
        </is>
      </c>
      <c r="B8" s="6" t="n">
        <v>4</v>
      </c>
      <c r="C8" s="2" t="inlineStr">
        <is>
          <t>inches</t>
        </is>
      </c>
    </row>
    <row r="9">
      <c r="A9" s="5" t="inlineStr">
        <is>
          <t>Waste allowance</t>
        </is>
      </c>
      <c r="B9" s="7" t="n">
        <v>0.05</v>
      </c>
      <c r="C9" s="2" t="inlineStr">
        <is>
          <t>percent of volume</t>
        </is>
      </c>
    </row>
    <row r="12" ht="20" customHeight="1">
      <c r="A12" s="3" t="inlineStr">
        <is>
          <t>RESULTS</t>
        </is>
      </c>
      <c r="B12" s="4" t="n"/>
      <c r="C12" s="4" t="n"/>
      <c r="D12" s="4" t="n"/>
    </row>
    <row r="13">
      <c r="A13" s="5" t="inlineStr">
        <is>
          <t>Slab area</t>
        </is>
      </c>
      <c r="B13" s="8">
        <f>B6*B7</f>
        <v/>
      </c>
      <c r="C13" s="2" t="inlineStr">
        <is>
          <t>square feet</t>
        </is>
      </c>
    </row>
    <row r="14">
      <c r="A14" s="5" t="inlineStr">
        <is>
          <t>Concrete required</t>
        </is>
      </c>
      <c r="B14" s="9">
        <f>(B6*B7*B8)/324</f>
        <v/>
      </c>
      <c r="C14" s="2" t="inlineStr">
        <is>
          <t>cubic yards</t>
        </is>
      </c>
    </row>
    <row r="15">
      <c r="A15" s="5" t="inlineStr">
        <is>
          <t>With waste allowance</t>
        </is>
      </c>
      <c r="B15" s="9">
        <f>B14*(1+B9)</f>
        <v/>
      </c>
      <c r="C15" s="2" t="inlineStr">
        <is>
          <t>cubic yards</t>
        </is>
      </c>
    </row>
    <row r="16">
      <c r="A16" s="10" t="inlineStr">
        <is>
          <t>ORDER THIS MUCH</t>
        </is>
      </c>
      <c r="B16" s="11">
        <f>ROUNDUP(B15,0)</f>
        <v/>
      </c>
      <c r="C16" s="2" t="inlineStr">
        <is>
          <t>cubic yards (rounded up)</t>
        </is>
      </c>
    </row>
    <row r="19" ht="20" customHeight="1">
      <c r="A19" s="3" t="inlineStr">
        <is>
          <t>REFERENCE — coverage by slab thickness</t>
        </is>
      </c>
      <c r="B19" s="4" t="n"/>
      <c r="C19" s="4" t="n"/>
      <c r="D19" s="4" t="n"/>
    </row>
    <row r="20" ht="28" customHeight="1">
      <c r="A20" s="12" t="inlineStr">
        <is>
          <t>Slab Thickness</t>
        </is>
      </c>
      <c r="B20" s="12" t="inlineStr">
        <is>
          <t>Square Feet per Cubic Yard</t>
        </is>
      </c>
    </row>
    <row r="21">
      <c r="A21" s="13" t="inlineStr">
        <is>
          <t>4 inches</t>
        </is>
      </c>
      <c r="B21" s="14" t="n">
        <v>81</v>
      </c>
    </row>
    <row r="22">
      <c r="A22" s="13" t="inlineStr">
        <is>
          <t>5 inches</t>
        </is>
      </c>
      <c r="B22" s="14" t="n">
        <v>65</v>
      </c>
    </row>
    <row r="23">
      <c r="A23" s="13" t="inlineStr">
        <is>
          <t>6 inches</t>
        </is>
      </c>
      <c r="B23" s="14" t="n">
        <v>54</v>
      </c>
    </row>
    <row r="24">
      <c r="A24" s="13" t="inlineStr">
        <is>
          <t>8 inches</t>
        </is>
      </c>
      <c r="B24" s="14" t="n">
        <v>40</v>
      </c>
    </row>
    <row r="26">
      <c r="A26" s="2" t="inlineStr">
        <is>
          <t>Ready-mix is sold in whole cubic yards. Running short mid-pour is far more expensive than ordering a spare yard.</t>
        </is>
      </c>
    </row>
    <row r="28">
      <c r="A28" s="2" t="inlineStr">
        <is>
          <t>© 2026 Build Your House · build-your-house.com</t>
        </is>
      </c>
    </row>
  </sheetData>
  <mergeCells count="4">
    <mergeCell ref="A1:D1"/>
    <mergeCell ref="A28:D28"/>
    <mergeCell ref="A26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30" customWidth="1" min="4" max="4"/>
  </cols>
  <sheetData>
    <row r="1" ht="22" customHeight="1">
      <c r="A1" s="1" t="inlineStr">
        <is>
          <t>DRYWALL CALCULATOR</t>
        </is>
      </c>
    </row>
    <row r="2">
      <c r="A2" s="2" t="inlineStr">
        <is>
          <t>Sheets = Total area ÷ 32 sq ft (a 4' × 8' sheet)</t>
        </is>
      </c>
    </row>
    <row r="5" ht="20" customHeight="1">
      <c r="A5" s="3" t="inlineStr">
        <is>
          <t>INPUTS — type over the yellow cells</t>
        </is>
      </c>
      <c r="B5" s="4" t="n"/>
      <c r="C5" s="4" t="n"/>
      <c r="D5" s="4" t="n"/>
    </row>
    <row r="6">
      <c r="A6" s="5" t="inlineStr">
        <is>
          <t>Total wall and ceiling area</t>
        </is>
      </c>
      <c r="B6" s="15" t="n">
        <v>800</v>
      </c>
      <c r="C6" s="2" t="inlineStr">
        <is>
          <t>square feet</t>
        </is>
      </c>
    </row>
    <row r="7">
      <c r="A7" s="5" t="inlineStr">
        <is>
          <t>Coverage per sheet</t>
        </is>
      </c>
      <c r="B7" s="15" t="n">
        <v>32</v>
      </c>
      <c r="C7" s="2" t="inlineStr">
        <is>
          <t>square feet (4×8 = 32, 4×12 = 48)</t>
        </is>
      </c>
    </row>
    <row r="8">
      <c r="A8" s="5" t="inlineStr">
        <is>
          <t>Waste allowance</t>
        </is>
      </c>
      <c r="B8" s="7" t="n">
        <v>0.1</v>
      </c>
      <c r="C8" s="2" t="inlineStr">
        <is>
          <t>percent</t>
        </is>
      </c>
    </row>
    <row r="9">
      <c r="A9" s="5" t="inlineStr">
        <is>
          <t>Linear feet of seams</t>
        </is>
      </c>
      <c r="B9" s="15" t="n">
        <v>400</v>
      </c>
      <c r="C9" s="2" t="inlineStr">
        <is>
          <t>linear feet</t>
        </is>
      </c>
    </row>
    <row r="12" ht="20" customHeight="1">
      <c r="A12" s="3" t="inlineStr">
        <is>
          <t>RESULTS</t>
        </is>
      </c>
      <c r="B12" s="4" t="n"/>
      <c r="C12" s="4" t="n"/>
      <c r="D12" s="4" t="n"/>
    </row>
    <row r="13">
      <c r="A13" s="5" t="inlineStr">
        <is>
          <t>Sheets needed</t>
        </is>
      </c>
      <c r="B13" s="9">
        <f>B6/B7</f>
        <v/>
      </c>
      <c r="C13" s="2" t="inlineStr">
        <is>
          <t>sheets</t>
        </is>
      </c>
    </row>
    <row r="14">
      <c r="A14" s="5" t="inlineStr">
        <is>
          <t>With waste allowance</t>
        </is>
      </c>
      <c r="B14" s="9">
        <f>B13*(1+B8)</f>
        <v/>
      </c>
      <c r="C14" s="2" t="inlineStr">
        <is>
          <t>sheets</t>
        </is>
      </c>
    </row>
    <row r="15">
      <c r="A15" s="10" t="inlineStr">
        <is>
          <t>ORDER THIS MANY</t>
        </is>
      </c>
      <c r="B15" s="11">
        <f>ROUNDUP(B14,0)</f>
        <v/>
      </c>
      <c r="C15" s="2" t="inlineStr">
        <is>
          <t>sheets (rounded up)</t>
        </is>
      </c>
    </row>
    <row r="16">
      <c r="A16" s="5" t="inlineStr">
        <is>
          <t>Joint compound</t>
        </is>
      </c>
      <c r="B16" s="8">
        <f>ROUNDUP(B6/100,0)</f>
        <v/>
      </c>
      <c r="C16" s="2" t="inlineStr">
        <is>
          <t>gallons (1 gal per 100 sq ft)</t>
        </is>
      </c>
    </row>
    <row r="17">
      <c r="A17" s="5" t="inlineStr">
        <is>
          <t>Joint tape</t>
        </is>
      </c>
      <c r="B17" s="8">
        <f>ROUNDUP(B9/100,0)</f>
        <v/>
      </c>
      <c r="C17" s="2" t="inlineStr">
        <is>
          <t>rolls (1 roll per 100 linear ft)</t>
        </is>
      </c>
    </row>
    <row r="18">
      <c r="A18" s="5" t="inlineStr">
        <is>
          <t>Screws</t>
        </is>
      </c>
      <c r="B18" s="8">
        <f>ROUNDUP(B15/8,0)</f>
        <v/>
      </c>
      <c r="C18" s="2" t="inlineStr">
        <is>
          <t>pounds (1 lb per 8 sheets)</t>
        </is>
      </c>
    </row>
    <row r="21" ht="20" customHeight="1">
      <c r="A21" s="3" t="inlineStr">
        <is>
          <t>REFERENCE — sheet coverage</t>
        </is>
      </c>
      <c r="B21" s="4" t="n"/>
      <c r="C21" s="4" t="n"/>
      <c r="D21" s="4" t="n"/>
    </row>
    <row r="22" ht="28" customHeight="1">
      <c r="A22" s="12" t="inlineStr">
        <is>
          <t>Sheet Size</t>
        </is>
      </c>
      <c r="B22" s="12" t="inlineStr">
        <is>
          <t>Coverage (sq ft)</t>
        </is>
      </c>
    </row>
    <row r="23">
      <c r="A23" s="13" t="inlineStr">
        <is>
          <t>4' × 8'</t>
        </is>
      </c>
      <c r="B23" s="14" t="n">
        <v>32</v>
      </c>
    </row>
    <row r="24">
      <c r="A24" s="13" t="inlineStr">
        <is>
          <t>4' × 10'</t>
        </is>
      </c>
      <c r="B24" s="14" t="n">
        <v>40</v>
      </c>
    </row>
    <row r="25">
      <c r="A25" s="13" t="inlineStr">
        <is>
          <t>4' × 12'</t>
        </is>
      </c>
      <c r="B25" s="14" t="n">
        <v>48</v>
      </c>
    </row>
    <row r="27">
      <c r="A27" s="2" t="inlineStr">
        <is>
          <t>Use 4' × 8' sheets on walls and 4' × 12' on ceilings where you can handle them — fewer butt joints to finish.</t>
        </is>
      </c>
    </row>
    <row r="29">
      <c r="A29" s="2" t="inlineStr">
        <is>
          <t>© 2026 Build Your House · build-your-house.com</t>
        </is>
      </c>
    </row>
  </sheetData>
  <mergeCells count="4">
    <mergeCell ref="A1:D1"/>
    <mergeCell ref="A27:D27"/>
    <mergeCell ref="A29:D2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30" customWidth="1" min="4" max="4"/>
  </cols>
  <sheetData>
    <row r="1" ht="22" customHeight="1">
      <c r="A1" s="1" t="inlineStr">
        <is>
          <t>PAINT CALCULATOR</t>
        </is>
      </c>
    </row>
    <row r="2">
      <c r="A2" s="2" t="inlineStr">
        <is>
          <t>Gallons = (Total area ÷ coverage per gallon) × number of coats</t>
        </is>
      </c>
    </row>
    <row r="5" ht="20" customHeight="1">
      <c r="A5" s="3" t="inlineStr">
        <is>
          <t>INPUTS — type over the yellow cells</t>
        </is>
      </c>
      <c r="B5" s="4" t="n"/>
      <c r="C5" s="4" t="n"/>
      <c r="D5" s="4" t="n"/>
    </row>
    <row r="6">
      <c r="A6" s="5" t="inlineStr">
        <is>
          <t>Total area to paint</t>
        </is>
      </c>
      <c r="B6" s="15" t="n">
        <v>1200</v>
      </c>
      <c r="C6" s="2" t="inlineStr">
        <is>
          <t>square feet</t>
        </is>
      </c>
    </row>
    <row r="7">
      <c r="A7" s="5" t="inlineStr">
        <is>
          <t>Coverage per gallon</t>
        </is>
      </c>
      <c r="B7" s="15" t="n">
        <v>350</v>
      </c>
      <c r="C7" s="2" t="inlineStr">
        <is>
          <t>square feet (see table below)</t>
        </is>
      </c>
    </row>
    <row r="8">
      <c r="A8" s="5" t="inlineStr">
        <is>
          <t>Number of coats</t>
        </is>
      </c>
      <c r="B8" s="15" t="n">
        <v>2</v>
      </c>
      <c r="C8" s="2" t="inlineStr">
        <is>
          <t>coats</t>
        </is>
      </c>
    </row>
    <row r="11" ht="20" customHeight="1">
      <c r="A11" s="3" t="inlineStr">
        <is>
          <t>RESULTS</t>
        </is>
      </c>
      <c r="B11" s="4" t="n"/>
      <c r="C11" s="4" t="n"/>
      <c r="D11" s="4" t="n"/>
    </row>
    <row r="12">
      <c r="A12" s="5" t="inlineStr">
        <is>
          <t>Gallons per coat</t>
        </is>
      </c>
      <c r="B12" s="9">
        <f>B6/B7</f>
        <v/>
      </c>
      <c r="C12" s="2" t="inlineStr">
        <is>
          <t>gallons</t>
        </is>
      </c>
    </row>
    <row r="13">
      <c r="A13" s="5" t="inlineStr">
        <is>
          <t>Total gallons</t>
        </is>
      </c>
      <c r="B13" s="9">
        <f>B12*B8</f>
        <v/>
      </c>
      <c r="C13" s="2" t="inlineStr">
        <is>
          <t>gallons</t>
        </is>
      </c>
    </row>
    <row r="14">
      <c r="A14" s="10" t="inlineStr">
        <is>
          <t>BUY THIS MANY</t>
        </is>
      </c>
      <c r="B14" s="11">
        <f>ROUNDUP(B13,0)</f>
        <v/>
      </c>
      <c r="C14" s="2" t="inlineStr">
        <is>
          <t>gallons (rounded up)</t>
        </is>
      </c>
    </row>
    <row r="17" ht="20" customHeight="1">
      <c r="A17" s="3" t="inlineStr">
        <is>
          <t>REFERENCE — coverage by surface</t>
        </is>
      </c>
      <c r="B17" s="4" t="n"/>
      <c r="C17" s="4" t="n"/>
      <c r="D17" s="4" t="n"/>
    </row>
    <row r="18" ht="28" customHeight="1">
      <c r="A18" s="12" t="inlineStr">
        <is>
          <t>Surface Type</t>
        </is>
      </c>
      <c r="B18" s="12" t="inlineStr">
        <is>
          <t>Coverage per Gallon (sq ft)</t>
        </is>
      </c>
    </row>
    <row r="19">
      <c r="A19" s="13" t="inlineStr">
        <is>
          <t>Smooth drywall / plaster</t>
        </is>
      </c>
      <c r="B19" s="14" t="n">
        <v>400</v>
      </c>
    </row>
    <row r="20">
      <c r="A20" s="13" t="inlineStr">
        <is>
          <t>Textured drywall</t>
        </is>
      </c>
      <c r="B20" s="14" t="n">
        <v>350</v>
      </c>
    </row>
    <row r="21">
      <c r="A21" s="13" t="inlineStr">
        <is>
          <t>Rough wood / concrete</t>
        </is>
      </c>
      <c r="B21" s="14" t="n">
        <v>300</v>
      </c>
    </row>
    <row r="22">
      <c r="A22" s="13" t="inlineStr">
        <is>
          <t>Primer on new drywall</t>
        </is>
      </c>
      <c r="B22" s="14" t="n">
        <v>300</v>
      </c>
    </row>
    <row r="24">
      <c r="A24" s="2" t="inlineStr">
        <is>
          <t>Buy all of one colour in a single trip so the batch numbers match.</t>
        </is>
      </c>
    </row>
    <row r="26">
      <c r="A26" s="2" t="inlineStr">
        <is>
          <t>© 2026 Build Your House · build-your-house.com</t>
        </is>
      </c>
    </row>
  </sheetData>
  <mergeCells count="4">
    <mergeCell ref="A1:D1"/>
    <mergeCell ref="A26:D26"/>
    <mergeCell ref="A24:D2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30" customWidth="1" min="4" max="4"/>
  </cols>
  <sheetData>
    <row r="1" ht="22" customHeight="1">
      <c r="A1" s="1" t="inlineStr">
        <is>
          <t>FLOORING CALCULATOR</t>
        </is>
      </c>
    </row>
    <row r="2">
      <c r="A2" s="2" t="inlineStr">
        <is>
          <t>Square feet to order = (Length × Width) × waste factor</t>
        </is>
      </c>
    </row>
    <row r="5" ht="20" customHeight="1">
      <c r="A5" s="3" t="inlineStr">
        <is>
          <t>INPUTS — type over the yellow cells</t>
        </is>
      </c>
      <c r="B5" s="4" t="n"/>
      <c r="C5" s="4" t="n"/>
      <c r="D5" s="4" t="n"/>
    </row>
    <row r="6">
      <c r="A6" s="5" t="inlineStr">
        <is>
          <t>Room length</t>
        </is>
      </c>
      <c r="B6" s="6" t="n">
        <v>12</v>
      </c>
      <c r="C6" s="2" t="inlineStr">
        <is>
          <t>feet</t>
        </is>
      </c>
    </row>
    <row r="7">
      <c r="A7" s="5" t="inlineStr">
        <is>
          <t>Room width</t>
        </is>
      </c>
      <c r="B7" s="6" t="n">
        <v>15</v>
      </c>
      <c r="C7" s="2" t="inlineStr">
        <is>
          <t>feet</t>
        </is>
      </c>
    </row>
    <row r="8">
      <c r="A8" s="5" t="inlineStr">
        <is>
          <t>Waste factor</t>
        </is>
      </c>
      <c r="B8" s="16" t="n">
        <v>1.1</v>
      </c>
      <c r="C8" s="2" t="inlineStr">
        <is>
          <t>pick from the dropdown (1.10 = 10% waste)</t>
        </is>
      </c>
    </row>
    <row r="11" ht="20" customHeight="1">
      <c r="A11" s="3" t="inlineStr">
        <is>
          <t>RESULTS</t>
        </is>
      </c>
      <c r="B11" s="4" t="n"/>
      <c r="C11" s="4" t="n"/>
      <c r="D11" s="4" t="n"/>
    </row>
    <row r="12">
      <c r="A12" s="5" t="inlineStr">
        <is>
          <t>Floor area</t>
        </is>
      </c>
      <c r="B12" s="8">
        <f>B6*B7</f>
        <v/>
      </c>
      <c r="C12" s="2" t="inlineStr">
        <is>
          <t>square feet</t>
        </is>
      </c>
    </row>
    <row r="13">
      <c r="A13" s="5" t="inlineStr">
        <is>
          <t>With waste factor</t>
        </is>
      </c>
      <c r="B13" s="9">
        <f>B12*B8</f>
        <v/>
      </c>
      <c r="C13" s="2" t="inlineStr">
        <is>
          <t>square feet</t>
        </is>
      </c>
    </row>
    <row r="14">
      <c r="A14" s="10" t="inlineStr">
        <is>
          <t>ORDER THIS MUCH</t>
        </is>
      </c>
      <c r="B14" s="11">
        <f>ROUNDUP(B13,0)</f>
        <v/>
      </c>
      <c r="C14" s="2" t="inlineStr">
        <is>
          <t>square feet (round up to full boxes)</t>
        </is>
      </c>
    </row>
    <row r="17" ht="20" customHeight="1">
      <c r="A17" s="3" t="inlineStr">
        <is>
          <t>REFERENCE — recommended waste factors</t>
        </is>
      </c>
      <c r="B17" s="4" t="n"/>
      <c r="C17" s="4" t="n"/>
      <c r="D17" s="4" t="n"/>
    </row>
    <row r="18" ht="28" customHeight="1">
      <c r="A18" s="12" t="inlineStr">
        <is>
          <t>Flooring Type</t>
        </is>
      </c>
      <c r="B18" s="12" t="inlineStr">
        <is>
          <t>Waste Factor</t>
        </is>
      </c>
      <c r="C18" s="12" t="inlineStr">
        <is>
          <t>Waste %</t>
        </is>
      </c>
    </row>
    <row r="19">
      <c r="A19" s="13" t="inlineStr">
        <is>
          <t>Carpet, sheet vinyl</t>
        </is>
      </c>
      <c r="B19" s="17" t="n">
        <v>1.05</v>
      </c>
      <c r="C19" s="13" t="inlineStr">
        <is>
          <t>5%</t>
        </is>
      </c>
    </row>
    <row r="20">
      <c r="A20" s="13" t="inlineStr">
        <is>
          <t>Hardwood, straight pattern</t>
        </is>
      </c>
      <c r="B20" s="17" t="n">
        <v>1.1</v>
      </c>
      <c r="C20" s="13" t="inlineStr">
        <is>
          <t>10%</t>
        </is>
      </c>
    </row>
    <row r="21">
      <c r="A21" s="13" t="inlineStr">
        <is>
          <t>Laminate, complex room</t>
        </is>
      </c>
      <c r="B21" s="17" t="n">
        <v>1.15</v>
      </c>
      <c r="C21" s="13" t="inlineStr">
        <is>
          <t>15%</t>
        </is>
      </c>
    </row>
    <row r="22">
      <c r="A22" s="13" t="inlineStr">
        <is>
          <t>Tile, diagonal pattern</t>
        </is>
      </c>
      <c r="B22" s="17" t="n">
        <v>1.2</v>
      </c>
      <c r="C22" s="13" t="inlineStr">
        <is>
          <t>20%</t>
        </is>
      </c>
    </row>
    <row r="24">
      <c r="A24" s="2" t="inlineStr">
        <is>
          <t>Buy every box in one order — dye lots vary between production runs.</t>
        </is>
      </c>
    </row>
    <row r="26">
      <c r="A26" s="2" t="inlineStr">
        <is>
          <t>© 2026 Build Your House · build-your-house.com</t>
        </is>
      </c>
    </row>
  </sheetData>
  <mergeCells count="4">
    <mergeCell ref="A1:D1"/>
    <mergeCell ref="A26:D26"/>
    <mergeCell ref="A24:D24"/>
    <mergeCell ref="A2:D2"/>
  </mergeCells>
  <dataValidations count="1">
    <dataValidation sqref="B8" showDropDown="0" showInputMessage="0" showErrorMessage="0" allowBlank="0" type="list">
      <formula1>=$B$19:$B$22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  <col width="30" customWidth="1" min="4" max="4"/>
  </cols>
  <sheetData>
    <row r="1" ht="22" customHeight="1">
      <c r="A1" s="1" t="inlineStr">
        <is>
          <t>ROOFING CALCULATOR</t>
        </is>
      </c>
    </row>
    <row r="2">
      <c r="A2" s="2" t="inlineStr">
        <is>
          <t>Squares = (Footprint area × pitch multiplier) ÷ 100</t>
        </is>
      </c>
    </row>
    <row r="5" ht="20" customHeight="1">
      <c r="A5" s="3" t="inlineStr">
        <is>
          <t>INPUTS — type over the yellow cells</t>
        </is>
      </c>
      <c r="B5" s="4" t="n"/>
      <c r="C5" s="4" t="n"/>
      <c r="D5" s="4" t="n"/>
    </row>
    <row r="6">
      <c r="A6" s="5" t="inlineStr">
        <is>
          <t>Building footprint length</t>
        </is>
      </c>
      <c r="B6" s="6" t="n">
        <v>40</v>
      </c>
      <c r="C6" s="2" t="inlineStr">
        <is>
          <t>feet</t>
        </is>
      </c>
    </row>
    <row r="7">
      <c r="A7" s="5" t="inlineStr">
        <is>
          <t>Building footprint width</t>
        </is>
      </c>
      <c r="B7" s="6" t="n">
        <v>30</v>
      </c>
      <c r="C7" s="2" t="inlineStr">
        <is>
          <t>feet</t>
        </is>
      </c>
    </row>
    <row r="8">
      <c r="A8" s="5" t="inlineStr">
        <is>
          <t>Roof pitch</t>
        </is>
      </c>
      <c r="B8" s="18" t="inlineStr">
        <is>
          <t>6:12</t>
        </is>
      </c>
      <c r="C8" s="2" t="inlineStr">
        <is>
          <t>rise : run — pick from the dropdown</t>
        </is>
      </c>
    </row>
    <row r="9">
      <c r="A9" s="5" t="inlineStr">
        <is>
          <t>Waste allowance</t>
        </is>
      </c>
      <c r="B9" s="7" t="n">
        <v>0.1</v>
      </c>
      <c r="C9" s="2" t="inlineStr">
        <is>
          <t>percent</t>
        </is>
      </c>
    </row>
    <row r="10">
      <c r="A10" s="5" t="inlineStr">
        <is>
          <t>Ridge and hip length</t>
        </is>
      </c>
      <c r="B10" s="15" t="n">
        <v>60</v>
      </c>
      <c r="C10" s="2" t="inlineStr">
        <is>
          <t>linear feet</t>
        </is>
      </c>
    </row>
    <row r="11">
      <c r="A11" s="5" t="inlineStr">
        <is>
          <t>Eave length</t>
        </is>
      </c>
      <c r="B11" s="15" t="n">
        <v>80</v>
      </c>
      <c r="C11" s="2" t="inlineStr">
        <is>
          <t>linear feet</t>
        </is>
      </c>
    </row>
    <row r="14" ht="20" customHeight="1">
      <c r="A14" s="3" t="inlineStr">
        <is>
          <t>PITCH MULTIPLIER LOOKUP</t>
        </is>
      </c>
      <c r="B14" s="4" t="n"/>
      <c r="C14" s="4" t="n"/>
      <c r="D14" s="4" t="n"/>
    </row>
    <row r="15" ht="28" customHeight="1">
      <c r="A15" s="12" t="inlineStr">
        <is>
          <t>Roof Pitch</t>
        </is>
      </c>
      <c r="B15" s="12" t="inlineStr">
        <is>
          <t>Multiplier</t>
        </is>
      </c>
      <c r="C15" s="12" t="inlineStr">
        <is>
          <t>Example: 1,000 sq ft footprint</t>
        </is>
      </c>
    </row>
    <row r="16">
      <c r="A16" s="13" t="inlineStr">
        <is>
          <t>Flat to 3:12</t>
        </is>
      </c>
      <c r="B16" s="17" t="n">
        <v>1.03</v>
      </c>
      <c r="C16" s="13" t="inlineStr">
        <is>
          <t>1,030 sq ft of roof</t>
        </is>
      </c>
    </row>
    <row r="17">
      <c r="A17" s="13" t="inlineStr">
        <is>
          <t>4:12</t>
        </is>
      </c>
      <c r="B17" s="17" t="n">
        <v>1.05</v>
      </c>
      <c r="C17" s="13" t="inlineStr">
        <is>
          <t>1,050 sq ft of roof</t>
        </is>
      </c>
    </row>
    <row r="18">
      <c r="A18" s="13" t="inlineStr">
        <is>
          <t>5:12</t>
        </is>
      </c>
      <c r="B18" s="17" t="n">
        <v>1.08</v>
      </c>
      <c r="C18" s="13" t="inlineStr">
        <is>
          <t>1,080 sq ft of roof</t>
        </is>
      </c>
    </row>
    <row r="19">
      <c r="A19" s="13" t="inlineStr">
        <is>
          <t>6:12</t>
        </is>
      </c>
      <c r="B19" s="17" t="n">
        <v>1.12</v>
      </c>
      <c r="C19" s="13" t="inlineStr">
        <is>
          <t>1,120 sq ft of roof</t>
        </is>
      </c>
    </row>
    <row r="20">
      <c r="A20" s="13" t="inlineStr">
        <is>
          <t>8:12</t>
        </is>
      </c>
      <c r="B20" s="17" t="n">
        <v>1.2</v>
      </c>
      <c r="C20" s="13" t="inlineStr">
        <is>
          <t>1,200 sq ft of roof</t>
        </is>
      </c>
    </row>
    <row r="21">
      <c r="A21" s="13" t="inlineStr">
        <is>
          <t>10:12</t>
        </is>
      </c>
      <c r="B21" s="17" t="n">
        <v>1.3</v>
      </c>
      <c r="C21" s="13" t="inlineStr">
        <is>
          <t>1,300 sq ft of roof</t>
        </is>
      </c>
    </row>
    <row r="22">
      <c r="A22" s="13" t="inlineStr">
        <is>
          <t>12:12</t>
        </is>
      </c>
      <c r="B22" s="17" t="n">
        <v>1.41</v>
      </c>
      <c r="C22" s="13" t="inlineStr">
        <is>
          <t>1,410 sq ft of roof</t>
        </is>
      </c>
    </row>
    <row r="25" ht="20" customHeight="1">
      <c r="A25" s="3" t="inlineStr">
        <is>
          <t>RESULTS</t>
        </is>
      </c>
      <c r="B25" s="4" t="n"/>
      <c r="C25" s="4" t="n"/>
      <c r="D25" s="4" t="n"/>
    </row>
    <row r="26">
      <c r="A26" s="5" t="inlineStr">
        <is>
          <t>Footprint area</t>
        </is>
      </c>
      <c r="B26" s="8">
        <f>B6*B7</f>
        <v/>
      </c>
      <c r="C26" s="2" t="inlineStr">
        <is>
          <t>square feet</t>
        </is>
      </c>
    </row>
    <row r="27">
      <c r="A27" s="5" t="inlineStr">
        <is>
          <t>Pitch multiplier</t>
        </is>
      </c>
      <c r="B27" s="19">
        <f>VLOOKUP(B8,$A$16:$B$22,2,FALSE)</f>
        <v/>
      </c>
      <c r="C27" s="2" t="inlineStr">
        <is>
          <t>from the lookup table above</t>
        </is>
      </c>
    </row>
    <row r="28">
      <c r="A28" s="5" t="inlineStr">
        <is>
          <t>Roof surface area</t>
        </is>
      </c>
      <c r="B28" s="8">
        <f>B26*B27</f>
        <v/>
      </c>
      <c r="C28" s="2" t="inlineStr">
        <is>
          <t>square feet</t>
        </is>
      </c>
    </row>
    <row r="29">
      <c r="A29" s="5" t="inlineStr">
        <is>
          <t>Squares</t>
        </is>
      </c>
      <c r="B29" s="9">
        <f>B28/100</f>
        <v/>
      </c>
      <c r="C29" s="2" t="inlineStr">
        <is>
          <t>squares (1 square = 100 sq ft)</t>
        </is>
      </c>
    </row>
    <row r="30">
      <c r="A30" s="5" t="inlineStr">
        <is>
          <t>With waste allowance</t>
        </is>
      </c>
      <c r="B30" s="9">
        <f>B29*(1+B9)</f>
        <v/>
      </c>
      <c r="C30" s="2" t="inlineStr">
        <is>
          <t>squares</t>
        </is>
      </c>
    </row>
    <row r="31">
      <c r="A31" s="10" t="inlineStr">
        <is>
          <t>ORDER THIS MANY</t>
        </is>
      </c>
      <c r="B31" s="11">
        <f>ROUNDUP(B30,0)</f>
        <v/>
      </c>
      <c r="C31" s="2" t="inlineStr">
        <is>
          <t>squares (rounded up)</t>
        </is>
      </c>
    </row>
    <row r="32">
      <c r="A32" s="5" t="inlineStr">
        <is>
          <t>Ridge cap</t>
        </is>
      </c>
      <c r="B32" s="8">
        <f>ROUNDUP(B10/30,0)</f>
        <v/>
      </c>
      <c r="C32" s="2" t="inlineStr">
        <is>
          <t>bundles (1 per 30 linear ft)</t>
        </is>
      </c>
    </row>
    <row r="33">
      <c r="A33" s="5" t="inlineStr">
        <is>
          <t>Starter strip</t>
        </is>
      </c>
      <c r="B33" s="8">
        <f>ROUNDUP(B11/100,0)</f>
        <v/>
      </c>
      <c r="C33" s="2" t="inlineStr">
        <is>
          <t>bundles (1 per 100 linear ft)</t>
        </is>
      </c>
    </row>
    <row r="34">
      <c r="A34" s="5" t="inlineStr">
        <is>
          <t>Underlayment</t>
        </is>
      </c>
      <c r="B34" s="8">
        <f>ROUNDUP(B31/4,0)</f>
        <v/>
      </c>
      <c r="C34" s="2" t="inlineStr">
        <is>
          <t>rolls (4 squares per roll)</t>
        </is>
      </c>
    </row>
    <row r="36">
      <c r="A36" s="2" t="inlineStr">
        <is>
          <t>Footprint is the area the roof covers when viewed from above, not the sloped surface. The multiplier converts one to the other.</t>
        </is>
      </c>
    </row>
    <row r="37">
      <c r="A37" s="2" t="inlineStr">
        <is>
          <t>These are estimates. Verify measurements on site before ordering.</t>
        </is>
      </c>
    </row>
    <row r="39">
      <c r="A39" s="2" t="inlineStr">
        <is>
          <t>© 2026 Build Your House · build-your-house.com</t>
        </is>
      </c>
    </row>
  </sheetData>
  <mergeCells count="5">
    <mergeCell ref="A1:D1"/>
    <mergeCell ref="A37:D37"/>
    <mergeCell ref="A39:D39"/>
    <mergeCell ref="A2:D2"/>
    <mergeCell ref="A36:D36"/>
  </mergeCells>
  <dataValidations count="1">
    <dataValidation sqref="B8" showDropDown="0" showInputMessage="0" showErrorMessage="0" allowBlank="0" errorTitle="Unknown pitch" error="Pick a pitch from the lookup table on this sheet." type="list">
      <formula1>=$A$16:$A$22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 Your House</dc:creator>
  <dc:title xmlns:dc="http://purl.org/dc/elements/1.1/">8.3-material-calculators</dc:title>
  <dcterms:created xmlns:dcterms="http://purl.org/dc/terms/" xmlns:xsi="http://www.w3.org/2001/XMLSchema-instance" xsi:type="dcterms:W3CDTF">2026-08-05T01:30:30Z</dcterms:created>
  <dcterms:modified xmlns:dcterms="http://purl.org/dc/terms/" xmlns:xsi="http://www.w3.org/2001/XMLSchema-instance" xsi:type="dcterms:W3CDTF">2026-08-05T01:30:30Z</dcterms:modified>
</cp:coreProperties>
</file>