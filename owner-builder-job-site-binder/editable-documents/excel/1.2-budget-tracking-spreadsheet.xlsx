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 Tracker" sheetId="1" state="visible" r:id="rId1"/>
  </sheets>
  <definedNames>
    <definedName name="_xlnm.Print_Titles" localSheetId="0">'Budget Tracker'!$8:$8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6">
    <font>
      <name val="Calibri"/>
      <family val="2"/>
      <color theme="1"/>
      <sz val="11"/>
      <scheme val="minor"/>
    </font>
    <font>
      <name val="Calibri"/>
      <b val="1"/>
      <sz val="15"/>
    </font>
    <font>
      <name val="Calibri"/>
      <i val="1"/>
      <color rgb="00595959"/>
      <sz val="9"/>
    </font>
    <font>
      <name val="Calibri"/>
      <b val="1"/>
      <sz val="11"/>
    </font>
    <font>
      <name val="Calibri"/>
      <sz val="11"/>
    </font>
    <font>
      <name val="Calibri"/>
      <b val="1"/>
      <sz val="12"/>
    </font>
  </fonts>
  <fills count="7">
    <fill>
      <patternFill/>
    </fill>
    <fill>
      <patternFill patternType="gray125"/>
    </fill>
    <fill>
      <patternFill patternType="solid">
        <fgColor rgb="00FFF6CC"/>
      </patternFill>
    </fill>
    <fill>
      <patternFill patternType="solid">
        <fgColor rgb="00E6E6E6"/>
      </patternFill>
    </fill>
    <fill>
      <patternFill patternType="solid">
        <fgColor rgb="00D9D9D9"/>
      </patternFill>
    </fill>
    <fill>
      <patternFill patternType="solid">
        <fgColor rgb="00F2F2F2"/>
      </patternFill>
    </fill>
    <fill>
      <patternFill patternType="solid">
        <fgColor rgb="00DCE6F1"/>
      </patternFill>
    </fill>
  </fills>
  <borders count="4">
    <border>
      <left/>
      <right/>
      <top/>
      <bottom/>
      <diagonal/>
    </border>
    <border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808080"/>
      </top>
      <bottom style="thin">
        <color rgb="00808080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2" borderId="1" applyProtection="1" pivotButton="0" quotePrefix="0" xfId="0">
      <protection locked="0" hidden="0"/>
    </xf>
    <xf numFmtId="164" fontId="0" fillId="2" borderId="1" applyProtection="1" pivotButton="0" quotePrefix="0" xfId="0">
      <protection locked="0" hidden="0"/>
    </xf>
    <xf numFmtId="0" fontId="3" fillId="3" borderId="2" applyAlignment="1" pivotButton="0" quotePrefix="0" xfId="0">
      <alignment horizontal="center" vertical="center" wrapText="1"/>
    </xf>
    <xf numFmtId="0" fontId="3" fillId="4" borderId="3" pivotButton="0" quotePrefix="0" xfId="0"/>
    <xf numFmtId="0" fontId="0" fillId="4" borderId="3" pivotButton="0" quotePrefix="0" xfId="0"/>
    <xf numFmtId="0" fontId="4" fillId="0" borderId="3" pivotButton="0" quotePrefix="0" xfId="0"/>
    <xf numFmtId="164" fontId="0" fillId="2" borderId="3" applyProtection="1" pivotButton="0" quotePrefix="0" xfId="0">
      <protection locked="0" hidden="0"/>
    </xf>
    <xf numFmtId="164" fontId="0" fillId="0" borderId="3" pivotButton="0" quotePrefix="0" xfId="0"/>
    <xf numFmtId="0" fontId="0" fillId="2" borderId="3" applyProtection="1" pivotButton="0" quotePrefix="0" xfId="0">
      <protection locked="0" hidden="0"/>
    </xf>
    <xf numFmtId="0" fontId="3" fillId="5" borderId="3" pivotButton="0" quotePrefix="0" xfId="0"/>
    <xf numFmtId="164" fontId="3" fillId="5" borderId="3" pivotButton="0" quotePrefix="0" xfId="0"/>
    <xf numFmtId="0" fontId="0" fillId="5" borderId="3" pivotButton="0" quotePrefix="0" xfId="0"/>
    <xf numFmtId="0" fontId="5" fillId="6" borderId="2" pivotButton="0" quotePrefix="0" xfId="0"/>
    <xf numFmtId="164" fontId="5" fillId="6" borderId="2" pivotButton="0" quotePrefix="0" xfId="0"/>
    <xf numFmtId="0" fontId="0" fillId="6" borderId="2" pivotButton="0" quotePrefix="0" xfId="0"/>
    <xf numFmtId="9" fontId="3" fillId="5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5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44" customWidth="1" min="1" max="1"/>
    <col width="16" customWidth="1" min="2" max="2"/>
    <col width="16" customWidth="1" min="3" max="3"/>
    <col width="16" customWidth="1" min="4" max="4"/>
    <col width="36" customWidth="1" min="5" max="5"/>
  </cols>
  <sheetData>
    <row r="1" ht="22" customHeight="1">
      <c r="A1" s="1" t="inlineStr">
        <is>
          <t>COMPLETE BUDGET TRACKING SPREADSHEET</t>
        </is>
      </c>
    </row>
    <row r="2">
      <c r="A2" s="2" t="inlineStr">
        <is>
          <t>Enter estimated costs up front, then fill in actual costs as invoices arrive. Variance = Actual − Estimated; a positive variance means you are over budget.</t>
        </is>
      </c>
    </row>
    <row r="4">
      <c r="A4" s="3" t="inlineStr">
        <is>
          <t>Project Name:</t>
        </is>
      </c>
      <c r="B4" s="4" t="n"/>
      <c r="D4" s="3" t="inlineStr">
        <is>
          <t>Total Budget:</t>
        </is>
      </c>
      <c r="E4" s="5" t="n"/>
    </row>
    <row r="5">
      <c r="A5" s="3" t="inlineStr">
        <is>
          <t>Owner-Builder:</t>
        </is>
      </c>
      <c r="B5" s="4" t="n"/>
      <c r="D5" s="3" t="inlineStr">
        <is>
          <t>Date Created:</t>
        </is>
      </c>
      <c r="E5" s="4" t="n"/>
    </row>
    <row r="6">
      <c r="A6" s="3" t="inlineStr">
        <is>
          <t>Lender / Financing:</t>
        </is>
      </c>
      <c r="B6" s="4" t="n"/>
      <c r="D6" s="3" t="inlineStr">
        <is>
          <t>Last Updated:</t>
        </is>
      </c>
      <c r="E6" s="4" t="n"/>
    </row>
    <row r="8" ht="28" customHeight="1">
      <c r="A8" s="6" t="inlineStr">
        <is>
          <t>Item</t>
        </is>
      </c>
      <c r="B8" s="6" t="inlineStr">
        <is>
          <t>Estimated Cost</t>
        </is>
      </c>
      <c r="C8" s="6" t="inlineStr">
        <is>
          <t>Actual Cost</t>
        </is>
      </c>
      <c r="D8" s="6" t="inlineStr">
        <is>
          <t>Variance (+/−)</t>
        </is>
      </c>
      <c r="E8" s="6" t="inlineStr">
        <is>
          <t>Vendor / Notes</t>
        </is>
      </c>
    </row>
    <row r="9" ht="20" customHeight="1">
      <c r="A9" s="7" t="inlineStr">
        <is>
          <t>LAND &amp; SITE COSTS</t>
        </is>
      </c>
      <c r="B9" s="8" t="n"/>
      <c r="C9" s="8" t="n"/>
      <c r="D9" s="8" t="n"/>
      <c r="E9" s="8" t="n"/>
    </row>
    <row r="10">
      <c r="A10" s="9" t="inlineStr">
        <is>
          <t>Land purchase / lot cost</t>
        </is>
      </c>
      <c r="B10" s="10" t="n"/>
      <c r="C10" s="10" t="n"/>
      <c r="D10" s="11">
        <f>IF(AND(B10="",C10=""),"",C10-B10)</f>
        <v/>
      </c>
      <c r="E10" s="12" t="n"/>
    </row>
    <row r="11">
      <c r="A11" s="9" t="inlineStr">
        <is>
          <t>Closing costs and fees</t>
        </is>
      </c>
      <c r="B11" s="10" t="n"/>
      <c r="C11" s="10" t="n"/>
      <c r="D11" s="11">
        <f>IF(AND(B11="",C11=""),"",C11-B11)</f>
        <v/>
      </c>
      <c r="E11" s="12" t="n"/>
    </row>
    <row r="12">
      <c r="A12" s="9" t="inlineStr">
        <is>
          <t>Land survey</t>
        </is>
      </c>
      <c r="B12" s="10" t="n"/>
      <c r="C12" s="10" t="n"/>
      <c r="D12" s="11">
        <f>IF(AND(B12="",C12=""),"",C12-B12)</f>
        <v/>
      </c>
      <c r="E12" s="12" t="n"/>
    </row>
    <row r="13">
      <c r="A13" s="9" t="inlineStr">
        <is>
          <t>Soil / percolation testing</t>
        </is>
      </c>
      <c r="B13" s="10" t="n"/>
      <c r="C13" s="10" t="n"/>
      <c r="D13" s="11">
        <f>IF(AND(B13="",C13=""),"",C13-B13)</f>
        <v/>
      </c>
      <c r="E13" s="12" t="n"/>
    </row>
    <row r="14">
      <c r="A14" s="13" t="inlineStr">
        <is>
          <t>LAND &amp; SITE COSTS SUBTOTAL</t>
        </is>
      </c>
      <c r="B14" s="14">
        <f>SUM(B10:B13)</f>
        <v/>
      </c>
      <c r="C14" s="14">
        <f>SUM(C10:C13)</f>
        <v/>
      </c>
      <c r="D14" s="14">
        <f>C14-B14</f>
        <v/>
      </c>
      <c r="E14" s="15" t="n"/>
    </row>
    <row r="16" ht="20" customHeight="1">
      <c r="A16" s="7" t="inlineStr">
        <is>
          <t>SITE PREPARATION</t>
        </is>
      </c>
      <c r="B16" s="8" t="n"/>
      <c r="C16" s="8" t="n"/>
      <c r="D16" s="8" t="n"/>
      <c r="E16" s="8" t="n"/>
    </row>
    <row r="17">
      <c r="A17" s="9" t="inlineStr">
        <is>
          <t>Site clearing and tree removal</t>
        </is>
      </c>
      <c r="B17" s="10" t="n"/>
      <c r="C17" s="10" t="n"/>
      <c r="D17" s="11">
        <f>IF(AND(B17="",C17=""),"",C17-B17)</f>
        <v/>
      </c>
      <c r="E17" s="12" t="n"/>
    </row>
    <row r="18">
      <c r="A18" s="9" t="inlineStr">
        <is>
          <t>Grading and excavation</t>
        </is>
      </c>
      <c r="B18" s="10" t="n"/>
      <c r="C18" s="10" t="n"/>
      <c r="D18" s="11">
        <f>IF(AND(B18="",C18=""),"",C18-B18)</f>
        <v/>
      </c>
      <c r="E18" s="12" t="n"/>
    </row>
    <row r="19">
      <c r="A19" s="9" t="inlineStr">
        <is>
          <t>Driveway / access road</t>
        </is>
      </c>
      <c r="B19" s="10" t="n"/>
      <c r="C19" s="10" t="n"/>
      <c r="D19" s="11">
        <f>IF(AND(B19="",C19=""),"",C19-B19)</f>
        <v/>
      </c>
      <c r="E19" s="12" t="n"/>
    </row>
    <row r="20">
      <c r="A20" s="9" t="inlineStr">
        <is>
          <t>Erosion control measures</t>
        </is>
      </c>
      <c r="B20" s="10" t="n"/>
      <c r="C20" s="10" t="n"/>
      <c r="D20" s="11">
        <f>IF(AND(B20="",C20=""),"",C20-B20)</f>
        <v/>
      </c>
      <c r="E20" s="12" t="n"/>
    </row>
    <row r="21">
      <c r="A21" s="9" t="inlineStr">
        <is>
          <t>Temporary utilities (power, water)</t>
        </is>
      </c>
      <c r="B21" s="10" t="n"/>
      <c r="C21" s="10" t="n"/>
      <c r="D21" s="11">
        <f>IF(AND(B21="",C21=""),"",C21-B21)</f>
        <v/>
      </c>
      <c r="E21" s="12" t="n"/>
    </row>
    <row r="22">
      <c r="A22" s="9" t="inlineStr">
        <is>
          <t>Portable toilet rental</t>
        </is>
      </c>
      <c r="B22" s="10" t="n"/>
      <c r="C22" s="10" t="n"/>
      <c r="D22" s="11">
        <f>IF(AND(B22="",C22=""),"",C22-B22)</f>
        <v/>
      </c>
      <c r="E22" s="12" t="n"/>
    </row>
    <row r="23">
      <c r="A23" s="9" t="inlineStr">
        <is>
          <t>Dumpster rental</t>
        </is>
      </c>
      <c r="B23" s="10" t="n"/>
      <c r="C23" s="10" t="n"/>
      <c r="D23" s="11">
        <f>IF(AND(B23="",C23=""),"",C23-B23)</f>
        <v/>
      </c>
      <c r="E23" s="12" t="n"/>
    </row>
    <row r="24">
      <c r="A24" s="9" t="inlineStr">
        <is>
          <t>Storage container / job box</t>
        </is>
      </c>
      <c r="B24" s="10" t="n"/>
      <c r="C24" s="10" t="n"/>
      <c r="D24" s="11">
        <f>IF(AND(B24="",C24=""),"",C24-B24)</f>
        <v/>
      </c>
      <c r="E24" s="12" t="n"/>
    </row>
    <row r="25">
      <c r="A25" s="13" t="inlineStr">
        <is>
          <t>SITE PREPARATION SUBTOTAL</t>
        </is>
      </c>
      <c r="B25" s="14">
        <f>SUM(B17:B24)</f>
        <v/>
      </c>
      <c r="C25" s="14">
        <f>SUM(C17:C24)</f>
        <v/>
      </c>
      <c r="D25" s="14">
        <f>C25-B25</f>
        <v/>
      </c>
      <c r="E25" s="15" t="n"/>
    </row>
    <row r="27" ht="20" customHeight="1">
      <c r="A27" s="7" t="inlineStr">
        <is>
          <t>FOUNDATION</t>
        </is>
      </c>
      <c r="B27" s="8" t="n"/>
      <c r="C27" s="8" t="n"/>
      <c r="D27" s="8" t="n"/>
      <c r="E27" s="8" t="n"/>
    </row>
    <row r="28">
      <c r="A28" s="9" t="inlineStr">
        <is>
          <t>Foundation excavation</t>
        </is>
      </c>
      <c r="B28" s="10" t="n"/>
      <c r="C28" s="10" t="n"/>
      <c r="D28" s="11">
        <f>IF(AND(B28="",C28=""),"",C28-B28)</f>
        <v/>
      </c>
      <c r="E28" s="12" t="n"/>
    </row>
    <row r="29">
      <c r="A29" s="9" t="inlineStr">
        <is>
          <t>Gravel / stone base</t>
        </is>
      </c>
      <c r="B29" s="10" t="n"/>
      <c r="C29" s="10" t="n"/>
      <c r="D29" s="11">
        <f>IF(AND(B29="",C29=""),"",C29-B29)</f>
        <v/>
      </c>
      <c r="E29" s="12" t="n"/>
    </row>
    <row r="30">
      <c r="A30" s="9" t="inlineStr">
        <is>
          <t>Rebar and wire mesh</t>
        </is>
      </c>
      <c r="B30" s="10" t="n"/>
      <c r="C30" s="10" t="n"/>
      <c r="D30" s="11">
        <f>IF(AND(B30="",C30=""),"",C30-B30)</f>
        <v/>
      </c>
      <c r="E30" s="12" t="n"/>
    </row>
    <row r="31">
      <c r="A31" s="9" t="inlineStr">
        <is>
          <t>Concrete (footers)</t>
        </is>
      </c>
      <c r="B31" s="10" t="n"/>
      <c r="C31" s="10" t="n"/>
      <c r="D31" s="11">
        <f>IF(AND(B31="",C31=""),"",C31-B31)</f>
        <v/>
      </c>
      <c r="E31" s="12" t="n"/>
    </row>
    <row r="32">
      <c r="A32" s="9" t="inlineStr">
        <is>
          <t>Concrete (foundation walls / slab)</t>
        </is>
      </c>
      <c r="B32" s="10" t="n"/>
      <c r="C32" s="10" t="n"/>
      <c r="D32" s="11">
        <f>IF(AND(B32="",C32=""),"",C32-B32)</f>
        <v/>
      </c>
      <c r="E32" s="12" t="n"/>
    </row>
    <row r="33">
      <c r="A33" s="9" t="inlineStr">
        <is>
          <t>Concrete pump rental</t>
        </is>
      </c>
      <c r="B33" s="10" t="n"/>
      <c r="C33" s="10" t="n"/>
      <c r="D33" s="11">
        <f>IF(AND(B33="",C33=""),"",C33-B33)</f>
        <v/>
      </c>
      <c r="E33" s="12" t="n"/>
    </row>
    <row r="34">
      <c r="A34" s="9" t="inlineStr">
        <is>
          <t>Form lumber and supplies</t>
        </is>
      </c>
      <c r="B34" s="10" t="n"/>
      <c r="C34" s="10" t="n"/>
      <c r="D34" s="11">
        <f>IF(AND(B34="",C34=""),"",C34-B34)</f>
        <v/>
      </c>
      <c r="E34" s="12" t="n"/>
    </row>
    <row r="35">
      <c r="A35" s="9" t="inlineStr">
        <is>
          <t>Anchor bolts and hardware</t>
        </is>
      </c>
      <c r="B35" s="10" t="n"/>
      <c r="C35" s="10" t="n"/>
      <c r="D35" s="11">
        <f>IF(AND(B35="",C35=""),"",C35-B35)</f>
        <v/>
      </c>
      <c r="E35" s="12" t="n"/>
    </row>
    <row r="36">
      <c r="A36" s="9" t="inlineStr">
        <is>
          <t>Waterproofing / dampproofing</t>
        </is>
      </c>
      <c r="B36" s="10" t="n"/>
      <c r="C36" s="10" t="n"/>
      <c r="D36" s="11">
        <f>IF(AND(B36="",C36=""),"",C36-B36)</f>
        <v/>
      </c>
      <c r="E36" s="12" t="n"/>
    </row>
    <row r="37">
      <c r="A37" s="9" t="inlineStr">
        <is>
          <t>Drainage tile and pipe</t>
        </is>
      </c>
      <c r="B37" s="10" t="n"/>
      <c r="C37" s="10" t="n"/>
      <c r="D37" s="11">
        <f>IF(AND(B37="",C37=""),"",C37-B37)</f>
        <v/>
      </c>
      <c r="E37" s="12" t="n"/>
    </row>
    <row r="38">
      <c r="A38" s="9" t="inlineStr">
        <is>
          <t>Vapor barrier / poly sheeting</t>
        </is>
      </c>
      <c r="B38" s="10" t="n"/>
      <c r="C38" s="10" t="n"/>
      <c r="D38" s="11">
        <f>IF(AND(B38="",C38=""),"",C38-B38)</f>
        <v/>
      </c>
      <c r="E38" s="12" t="n"/>
    </row>
    <row r="39">
      <c r="A39" s="9" t="inlineStr">
        <is>
          <t>Backfill and compaction</t>
        </is>
      </c>
      <c r="B39" s="10" t="n"/>
      <c r="C39" s="10" t="n"/>
      <c r="D39" s="11">
        <f>IF(AND(B39="",C39=""),"",C39-B39)</f>
        <v/>
      </c>
      <c r="E39" s="12" t="n"/>
    </row>
    <row r="40">
      <c r="A40" s="9" t="inlineStr">
        <is>
          <t>Foundation labor (if subbed)</t>
        </is>
      </c>
      <c r="B40" s="10" t="n"/>
      <c r="C40" s="10" t="n"/>
      <c r="D40" s="11">
        <f>IF(AND(B40="",C40=""),"",C40-B40)</f>
        <v/>
      </c>
      <c r="E40" s="12" t="n"/>
    </row>
    <row r="41">
      <c r="A41" s="13" t="inlineStr">
        <is>
          <t>FOUNDATION SUBTOTAL</t>
        </is>
      </c>
      <c r="B41" s="14">
        <f>SUM(B28:B40)</f>
        <v/>
      </c>
      <c r="C41" s="14">
        <f>SUM(C28:C40)</f>
        <v/>
      </c>
      <c r="D41" s="14">
        <f>C41-B41</f>
        <v/>
      </c>
      <c r="E41" s="15" t="n"/>
    </row>
    <row r="43" ht="20" customHeight="1">
      <c r="A43" s="7" t="inlineStr">
        <is>
          <t>FRAMING</t>
        </is>
      </c>
      <c r="B43" s="8" t="n"/>
      <c r="C43" s="8" t="n"/>
      <c r="D43" s="8" t="n"/>
      <c r="E43" s="8" t="n"/>
    </row>
    <row r="44">
      <c r="A44" s="9" t="inlineStr">
        <is>
          <t>Framing lumber (studs, plates, joists)</t>
        </is>
      </c>
      <c r="B44" s="10" t="n"/>
      <c r="C44" s="10" t="n"/>
      <c r="D44" s="11">
        <f>IF(AND(B44="",C44=""),"",C44-B44)</f>
        <v/>
      </c>
      <c r="E44" s="12" t="n"/>
    </row>
    <row r="45">
      <c r="A45" s="9" t="inlineStr">
        <is>
          <t>Engineered lumber (LVL, I-joists, etc.)</t>
        </is>
      </c>
      <c r="B45" s="10" t="n"/>
      <c r="C45" s="10" t="n"/>
      <c r="D45" s="11">
        <f>IF(AND(B45="",C45=""),"",C45-B45)</f>
        <v/>
      </c>
      <c r="E45" s="12" t="n"/>
    </row>
    <row r="46">
      <c r="A46" s="9" t="inlineStr">
        <is>
          <t>Roof trusses or rafters</t>
        </is>
      </c>
      <c r="B46" s="10" t="n"/>
      <c r="C46" s="10" t="n"/>
      <c r="D46" s="11">
        <f>IF(AND(B46="",C46=""),"",C46-B46)</f>
        <v/>
      </c>
      <c r="E46" s="12" t="n"/>
    </row>
    <row r="47">
      <c r="A47" s="9" t="inlineStr">
        <is>
          <t>Sheathing (wall, floor, roof)</t>
        </is>
      </c>
      <c r="B47" s="10" t="n"/>
      <c r="C47" s="10" t="n"/>
      <c r="D47" s="11">
        <f>IF(AND(B47="",C47=""),"",C47-B47)</f>
        <v/>
      </c>
      <c r="E47" s="12" t="n"/>
    </row>
    <row r="48">
      <c r="A48" s="9" t="inlineStr">
        <is>
          <t>House wrap / moisture barrier</t>
        </is>
      </c>
      <c r="B48" s="10" t="n"/>
      <c r="C48" s="10" t="n"/>
      <c r="D48" s="11">
        <f>IF(AND(B48="",C48=""),"",C48-B48)</f>
        <v/>
      </c>
      <c r="E48" s="12" t="n"/>
    </row>
    <row r="49">
      <c r="A49" s="9" t="inlineStr">
        <is>
          <t>Nails, screws, hangers, hardware</t>
        </is>
      </c>
      <c r="B49" s="10" t="n"/>
      <c r="C49" s="10" t="n"/>
      <c r="D49" s="11">
        <f>IF(AND(B49="",C49=""),"",C49-B49)</f>
        <v/>
      </c>
      <c r="E49" s="12" t="n"/>
    </row>
    <row r="50">
      <c r="A50" s="9" t="inlineStr">
        <is>
          <t>Framing labor (if subbed)</t>
        </is>
      </c>
      <c r="B50" s="10" t="n"/>
      <c r="C50" s="10" t="n"/>
      <c r="D50" s="11">
        <f>IF(AND(B50="",C50=""),"",C50-B50)</f>
        <v/>
      </c>
      <c r="E50" s="12" t="n"/>
    </row>
    <row r="51">
      <c r="A51" s="9" t="inlineStr">
        <is>
          <t>Crane rental (truss setting)</t>
        </is>
      </c>
      <c r="B51" s="10" t="n"/>
      <c r="C51" s="10" t="n"/>
      <c r="D51" s="11">
        <f>IF(AND(B51="",C51=""),"",C51-B51)</f>
        <v/>
      </c>
      <c r="E51" s="12" t="n"/>
    </row>
    <row r="52">
      <c r="A52" s="13" t="inlineStr">
        <is>
          <t>FRAMING SUBTOTAL</t>
        </is>
      </c>
      <c r="B52" s="14">
        <f>SUM(B44:B51)</f>
        <v/>
      </c>
      <c r="C52" s="14">
        <f>SUM(C44:C51)</f>
        <v/>
      </c>
      <c r="D52" s="14">
        <f>C52-B52</f>
        <v/>
      </c>
      <c r="E52" s="15" t="n"/>
    </row>
    <row r="54" ht="20" customHeight="1">
      <c r="A54" s="7" t="inlineStr">
        <is>
          <t>ROOFING</t>
        </is>
      </c>
      <c r="B54" s="8" t="n"/>
      <c r="C54" s="8" t="n"/>
      <c r="D54" s="8" t="n"/>
      <c r="E54" s="8" t="n"/>
    </row>
    <row r="55">
      <c r="A55" s="9" t="inlineStr">
        <is>
          <t>Roofing underlayment (felt / synthetic)</t>
        </is>
      </c>
      <c r="B55" s="10" t="n"/>
      <c r="C55" s="10" t="n"/>
      <c r="D55" s="11">
        <f>IF(AND(B55="",C55=""),"",C55-B55)</f>
        <v/>
      </c>
      <c r="E55" s="12" t="n"/>
    </row>
    <row r="56">
      <c r="A56" s="9" t="inlineStr">
        <is>
          <t>Shingles / roofing material</t>
        </is>
      </c>
      <c r="B56" s="10" t="n"/>
      <c r="C56" s="10" t="n"/>
      <c r="D56" s="11">
        <f>IF(AND(B56="",C56=""),"",C56-B56)</f>
        <v/>
      </c>
      <c r="E56" s="12" t="n"/>
    </row>
    <row r="57">
      <c r="A57" s="9" t="inlineStr">
        <is>
          <t>Ridge vent and accessories</t>
        </is>
      </c>
      <c r="B57" s="10" t="n"/>
      <c r="C57" s="10" t="n"/>
      <c r="D57" s="11">
        <f>IF(AND(B57="",C57=""),"",C57-B57)</f>
        <v/>
      </c>
      <c r="E57" s="12" t="n"/>
    </row>
    <row r="58">
      <c r="A58" s="9" t="inlineStr">
        <is>
          <t>Drip edge and flashing</t>
        </is>
      </c>
      <c r="B58" s="10" t="n"/>
      <c r="C58" s="10" t="n"/>
      <c r="D58" s="11">
        <f>IF(AND(B58="",C58=""),"",C58-B58)</f>
        <v/>
      </c>
      <c r="E58" s="12" t="n"/>
    </row>
    <row r="59">
      <c r="A59" s="9" t="inlineStr">
        <is>
          <t>Gutters and downspouts</t>
        </is>
      </c>
      <c r="B59" s="10" t="n"/>
      <c r="C59" s="10" t="n"/>
      <c r="D59" s="11">
        <f>IF(AND(B59="",C59=""),"",C59-B59)</f>
        <v/>
      </c>
      <c r="E59" s="12" t="n"/>
    </row>
    <row r="60">
      <c r="A60" s="9" t="inlineStr">
        <is>
          <t>Roofing labor (if subbed)</t>
        </is>
      </c>
      <c r="B60" s="10" t="n"/>
      <c r="C60" s="10" t="n"/>
      <c r="D60" s="11">
        <f>IF(AND(B60="",C60=""),"",C60-B60)</f>
        <v/>
      </c>
      <c r="E60" s="12" t="n"/>
    </row>
    <row r="61">
      <c r="A61" s="13" t="inlineStr">
        <is>
          <t>ROOFING SUBTOTAL</t>
        </is>
      </c>
      <c r="B61" s="14">
        <f>SUM(B55:B60)</f>
        <v/>
      </c>
      <c r="C61" s="14">
        <f>SUM(C55:C60)</f>
        <v/>
      </c>
      <c r="D61" s="14">
        <f>C61-B61</f>
        <v/>
      </c>
      <c r="E61" s="15" t="n"/>
    </row>
    <row r="63" ht="20" customHeight="1">
      <c r="A63" s="7" t="inlineStr">
        <is>
          <t>EXTERIOR FINISHES</t>
        </is>
      </c>
      <c r="B63" s="8" t="n"/>
      <c r="C63" s="8" t="n"/>
      <c r="D63" s="8" t="n"/>
      <c r="E63" s="8" t="n"/>
    </row>
    <row r="64">
      <c r="A64" s="9" t="inlineStr">
        <is>
          <t>Siding material</t>
        </is>
      </c>
      <c r="B64" s="10" t="n"/>
      <c r="C64" s="10" t="n"/>
      <c r="D64" s="11">
        <f>IF(AND(B64="",C64=""),"",C64-B64)</f>
        <v/>
      </c>
      <c r="E64" s="12" t="n"/>
    </row>
    <row r="65">
      <c r="A65" s="9" t="inlineStr">
        <is>
          <t>Exterior trim boards</t>
        </is>
      </c>
      <c r="B65" s="10" t="n"/>
      <c r="C65" s="10" t="n"/>
      <c r="D65" s="11">
        <f>IF(AND(B65="",C65=""),"",C65-B65)</f>
        <v/>
      </c>
      <c r="E65" s="12" t="n"/>
    </row>
    <row r="66">
      <c r="A66" s="9" t="inlineStr">
        <is>
          <t>Soffit and fascia</t>
        </is>
      </c>
      <c r="B66" s="10" t="n"/>
      <c r="C66" s="10" t="n"/>
      <c r="D66" s="11">
        <f>IF(AND(B66="",C66=""),"",C66-B66)</f>
        <v/>
      </c>
      <c r="E66" s="12" t="n"/>
    </row>
    <row r="67">
      <c r="A67" s="9" t="inlineStr">
        <is>
          <t>Exterior paint / stain</t>
        </is>
      </c>
      <c r="B67" s="10" t="n"/>
      <c r="C67" s="10" t="n"/>
      <c r="D67" s="11">
        <f>IF(AND(B67="",C67=""),"",C67-B67)</f>
        <v/>
      </c>
      <c r="E67" s="12" t="n"/>
    </row>
    <row r="68">
      <c r="A68" s="9" t="inlineStr">
        <is>
          <t>Exterior doors (front, rear, garage)</t>
        </is>
      </c>
      <c r="B68" s="10" t="n"/>
      <c r="C68" s="10" t="n"/>
      <c r="D68" s="11">
        <f>IF(AND(B68="",C68=""),"",C68-B68)</f>
        <v/>
      </c>
      <c r="E68" s="12" t="n"/>
    </row>
    <row r="69">
      <c r="A69" s="9" t="inlineStr">
        <is>
          <t>Windows</t>
        </is>
      </c>
      <c r="B69" s="10" t="n"/>
      <c r="C69" s="10" t="n"/>
      <c r="D69" s="11">
        <f>IF(AND(B69="",C69=""),"",C69-B69)</f>
        <v/>
      </c>
      <c r="E69" s="12" t="n"/>
    </row>
    <row r="70">
      <c r="A70" s="9" t="inlineStr">
        <is>
          <t>Exterior labor (if subbed)</t>
        </is>
      </c>
      <c r="B70" s="10" t="n"/>
      <c r="C70" s="10" t="n"/>
      <c r="D70" s="11">
        <f>IF(AND(B70="",C70=""),"",C70-B70)</f>
        <v/>
      </c>
      <c r="E70" s="12" t="n"/>
    </row>
    <row r="71">
      <c r="A71" s="13" t="inlineStr">
        <is>
          <t>EXTERIOR FINISHES SUBTOTAL</t>
        </is>
      </c>
      <c r="B71" s="14">
        <f>SUM(B64:B70)</f>
        <v/>
      </c>
      <c r="C71" s="14">
        <f>SUM(C64:C70)</f>
        <v/>
      </c>
      <c r="D71" s="14">
        <f>C71-B71</f>
        <v/>
      </c>
      <c r="E71" s="15" t="n"/>
    </row>
    <row r="73" ht="20" customHeight="1">
      <c r="A73" s="7" t="inlineStr">
        <is>
          <t>PLUMBING ROUGH-IN</t>
        </is>
      </c>
      <c r="B73" s="8" t="n"/>
      <c r="C73" s="8" t="n"/>
      <c r="D73" s="8" t="n"/>
      <c r="E73" s="8" t="n"/>
    </row>
    <row r="74">
      <c r="A74" s="9" t="inlineStr">
        <is>
          <t>Supply pipes (PEX, copper, etc.)</t>
        </is>
      </c>
      <c r="B74" s="10" t="n"/>
      <c r="C74" s="10" t="n"/>
      <c r="D74" s="11">
        <f>IF(AND(B74="",C74=""),"",C74-B74)</f>
        <v/>
      </c>
      <c r="E74" s="12" t="n"/>
    </row>
    <row r="75">
      <c r="A75" s="9" t="inlineStr">
        <is>
          <t>Drain / waste / vent (DWV) pipes</t>
        </is>
      </c>
      <c r="B75" s="10" t="n"/>
      <c r="C75" s="10" t="n"/>
      <c r="D75" s="11">
        <f>IF(AND(B75="",C75=""),"",C75-B75)</f>
        <v/>
      </c>
      <c r="E75" s="12" t="n"/>
    </row>
    <row r="76">
      <c r="A76" s="9" t="inlineStr">
        <is>
          <t>Fittings, connectors, valves</t>
        </is>
      </c>
      <c r="B76" s="10" t="n"/>
      <c r="C76" s="10" t="n"/>
      <c r="D76" s="11">
        <f>IF(AND(B76="",C76=""),"",C76-B76)</f>
        <v/>
      </c>
      <c r="E76" s="12" t="n"/>
    </row>
    <row r="77">
      <c r="A77" s="9" t="inlineStr">
        <is>
          <t>Water heater</t>
        </is>
      </c>
      <c r="B77" s="10" t="n"/>
      <c r="C77" s="10" t="n"/>
      <c r="D77" s="11">
        <f>IF(AND(B77="",C77=""),"",C77-B77)</f>
        <v/>
      </c>
      <c r="E77" s="12" t="n"/>
    </row>
    <row r="78">
      <c r="A78" s="9" t="inlineStr">
        <is>
          <t>Plumbing rough-in labor (if subbed)</t>
        </is>
      </c>
      <c r="B78" s="10" t="n"/>
      <c r="C78" s="10" t="n"/>
      <c r="D78" s="11">
        <f>IF(AND(B78="",C78=""),"",C78-B78)</f>
        <v/>
      </c>
      <c r="E78" s="12" t="n"/>
    </row>
    <row r="79">
      <c r="A79" s="13" t="inlineStr">
        <is>
          <t>PLUMBING ROUGH-IN SUBTOTAL</t>
        </is>
      </c>
      <c r="B79" s="14">
        <f>SUM(B74:B78)</f>
        <v/>
      </c>
      <c r="C79" s="14">
        <f>SUM(C74:C78)</f>
        <v/>
      </c>
      <c r="D79" s="14">
        <f>C79-B79</f>
        <v/>
      </c>
      <c r="E79" s="15" t="n"/>
    </row>
    <row r="81" ht="20" customHeight="1">
      <c r="A81" s="7" t="inlineStr">
        <is>
          <t>HVAC ROUGH-IN</t>
        </is>
      </c>
      <c r="B81" s="8" t="n"/>
      <c r="C81" s="8" t="n"/>
      <c r="D81" s="8" t="n"/>
      <c r="E81" s="8" t="n"/>
    </row>
    <row r="82">
      <c r="A82" s="9" t="inlineStr">
        <is>
          <t>HVAC unit(s) — furnace / AC / heat pump</t>
        </is>
      </c>
      <c r="B82" s="10" t="n"/>
      <c r="C82" s="10" t="n"/>
      <c r="D82" s="11">
        <f>IF(AND(B82="",C82=""),"",C82-B82)</f>
        <v/>
      </c>
      <c r="E82" s="12" t="n"/>
    </row>
    <row r="83">
      <c r="A83" s="9" t="inlineStr">
        <is>
          <t>Ductwork and registers</t>
        </is>
      </c>
      <c r="B83" s="10" t="n"/>
      <c r="C83" s="10" t="n"/>
      <c r="D83" s="11">
        <f>IF(AND(B83="",C83=""),"",C83-B83)</f>
        <v/>
      </c>
      <c r="E83" s="12" t="n"/>
    </row>
    <row r="84">
      <c r="A84" s="9" t="inlineStr">
        <is>
          <t>Ventilation fans (bath, kitchen)</t>
        </is>
      </c>
      <c r="B84" s="10" t="n"/>
      <c r="C84" s="10" t="n"/>
      <c r="D84" s="11">
        <f>IF(AND(B84="",C84=""),"",C84-B84)</f>
        <v/>
      </c>
      <c r="E84" s="12" t="n"/>
    </row>
    <row r="85">
      <c r="A85" s="9" t="inlineStr">
        <is>
          <t>HVAC labor / installation (if subbed)</t>
        </is>
      </c>
      <c r="B85" s="10" t="n"/>
      <c r="C85" s="10" t="n"/>
      <c r="D85" s="11">
        <f>IF(AND(B85="",C85=""),"",C85-B85)</f>
        <v/>
      </c>
      <c r="E85" s="12" t="n"/>
    </row>
    <row r="86">
      <c r="A86" s="13" t="inlineStr">
        <is>
          <t>HVAC ROUGH-IN SUBTOTAL</t>
        </is>
      </c>
      <c r="B86" s="14">
        <f>SUM(B82:B85)</f>
        <v/>
      </c>
      <c r="C86" s="14">
        <f>SUM(C82:C85)</f>
        <v/>
      </c>
      <c r="D86" s="14">
        <f>C86-B86</f>
        <v/>
      </c>
      <c r="E86" s="15" t="n"/>
    </row>
    <row r="88" ht="20" customHeight="1">
      <c r="A88" s="7" t="inlineStr">
        <is>
          <t>ELECTRICAL ROUGH-IN</t>
        </is>
      </c>
      <c r="B88" s="8" t="n"/>
      <c r="C88" s="8" t="n"/>
      <c r="D88" s="8" t="n"/>
      <c r="E88" s="8" t="n"/>
    </row>
    <row r="89">
      <c r="A89" s="9" t="inlineStr">
        <is>
          <t>Electrical panel / breaker box</t>
        </is>
      </c>
      <c r="B89" s="10" t="n"/>
      <c r="C89" s="10" t="n"/>
      <c r="D89" s="11">
        <f>IF(AND(B89="",C89=""),"",C89-B89)</f>
        <v/>
      </c>
      <c r="E89" s="12" t="n"/>
    </row>
    <row r="90">
      <c r="A90" s="9" t="inlineStr">
        <is>
          <t>Wire and cable (Romex, etc.)</t>
        </is>
      </c>
      <c r="B90" s="10" t="n"/>
      <c r="C90" s="10" t="n"/>
      <c r="D90" s="11">
        <f>IF(AND(B90="",C90=""),"",C90-B90)</f>
        <v/>
      </c>
      <c r="E90" s="12" t="n"/>
    </row>
    <row r="91">
      <c r="A91" s="9" t="inlineStr">
        <is>
          <t>Boxes, connectors, staples</t>
        </is>
      </c>
      <c r="B91" s="10" t="n"/>
      <c r="C91" s="10" t="n"/>
      <c r="D91" s="11">
        <f>IF(AND(B91="",C91=""),"",C91-B91)</f>
        <v/>
      </c>
      <c r="E91" s="12" t="n"/>
    </row>
    <row r="92">
      <c r="A92" s="9" t="inlineStr">
        <is>
          <t>Service entrance / meter base</t>
        </is>
      </c>
      <c r="B92" s="10" t="n"/>
      <c r="C92" s="10" t="n"/>
      <c r="D92" s="11">
        <f>IF(AND(B92="",C92=""),"",C92-B92)</f>
        <v/>
      </c>
      <c r="E92" s="12" t="n"/>
    </row>
    <row r="93">
      <c r="A93" s="9" t="inlineStr">
        <is>
          <t>Electrical rough-in labor (if subbed)</t>
        </is>
      </c>
      <c r="B93" s="10" t="n"/>
      <c r="C93" s="10" t="n"/>
      <c r="D93" s="11">
        <f>IF(AND(B93="",C93=""),"",C93-B93)</f>
        <v/>
      </c>
      <c r="E93" s="12" t="n"/>
    </row>
    <row r="94">
      <c r="A94" s="13" t="inlineStr">
        <is>
          <t>ELECTRICAL ROUGH-IN SUBTOTAL</t>
        </is>
      </c>
      <c r="B94" s="14">
        <f>SUM(B89:B93)</f>
        <v/>
      </c>
      <c r="C94" s="14">
        <f>SUM(C89:C93)</f>
        <v/>
      </c>
      <c r="D94" s="14">
        <f>C94-B94</f>
        <v/>
      </c>
      <c r="E94" s="15" t="n"/>
    </row>
    <row r="96" ht="20" customHeight="1">
      <c r="A96" s="7" t="inlineStr">
        <is>
          <t>INSULATION</t>
        </is>
      </c>
      <c r="B96" s="8" t="n"/>
      <c r="C96" s="8" t="n"/>
      <c r="D96" s="8" t="n"/>
      <c r="E96" s="8" t="n"/>
    </row>
    <row r="97">
      <c r="A97" s="9" t="inlineStr">
        <is>
          <t>Wall insulation (fiberglass / spray foam)</t>
        </is>
      </c>
      <c r="B97" s="10" t="n"/>
      <c r="C97" s="10" t="n"/>
      <c r="D97" s="11">
        <f>IF(AND(B97="",C97=""),"",C97-B97)</f>
        <v/>
      </c>
      <c r="E97" s="12" t="n"/>
    </row>
    <row r="98">
      <c r="A98" s="9" t="inlineStr">
        <is>
          <t>Ceiling / attic insulation</t>
        </is>
      </c>
      <c r="B98" s="10" t="n"/>
      <c r="C98" s="10" t="n"/>
      <c r="D98" s="11">
        <f>IF(AND(B98="",C98=""),"",C98-B98)</f>
        <v/>
      </c>
      <c r="E98" s="12" t="n"/>
    </row>
    <row r="99">
      <c r="A99" s="9" t="inlineStr">
        <is>
          <t>Floor / rim joist insulation</t>
        </is>
      </c>
      <c r="B99" s="10" t="n"/>
      <c r="C99" s="10" t="n"/>
      <c r="D99" s="11">
        <f>IF(AND(B99="",C99=""),"",C99-B99)</f>
        <v/>
      </c>
      <c r="E99" s="12" t="n"/>
    </row>
    <row r="100">
      <c r="A100" s="9" t="inlineStr">
        <is>
          <t>Insulation labor (if subbed)</t>
        </is>
      </c>
      <c r="B100" s="10" t="n"/>
      <c r="C100" s="10" t="n"/>
      <c r="D100" s="11">
        <f>IF(AND(B100="",C100=""),"",C100-B100)</f>
        <v/>
      </c>
      <c r="E100" s="12" t="n"/>
    </row>
    <row r="101">
      <c r="A101" s="13" t="inlineStr">
        <is>
          <t>INSULATION SUBTOTAL</t>
        </is>
      </c>
      <c r="B101" s="14">
        <f>SUM(B97:B100)</f>
        <v/>
      </c>
      <c r="C101" s="14">
        <f>SUM(C97:C100)</f>
        <v/>
      </c>
      <c r="D101" s="14">
        <f>C101-B101</f>
        <v/>
      </c>
      <c r="E101" s="15" t="n"/>
    </row>
    <row r="103" ht="20" customHeight="1">
      <c r="A103" s="7" t="inlineStr">
        <is>
          <t>DRYWALL</t>
        </is>
      </c>
      <c r="B103" s="8" t="n"/>
      <c r="C103" s="8" t="n"/>
      <c r="D103" s="8" t="n"/>
      <c r="E103" s="8" t="n"/>
    </row>
    <row r="104">
      <c r="A104" s="9" t="inlineStr">
        <is>
          <t>Drywall sheets (1/2", 5/8")</t>
        </is>
      </c>
      <c r="B104" s="10" t="n"/>
      <c r="C104" s="10" t="n"/>
      <c r="D104" s="11">
        <f>IF(AND(B104="",C104=""),"",C104-B104)</f>
        <v/>
      </c>
      <c r="E104" s="12" t="n"/>
    </row>
    <row r="105">
      <c r="A105" s="9" t="inlineStr">
        <is>
          <t>Joint compound (mud)</t>
        </is>
      </c>
      <c r="B105" s="10" t="n"/>
      <c r="C105" s="10" t="n"/>
      <c r="D105" s="11">
        <f>IF(AND(B105="",C105=""),"",C105-B105)</f>
        <v/>
      </c>
      <c r="E105" s="12" t="n"/>
    </row>
    <row r="106">
      <c r="A106" s="9" t="inlineStr">
        <is>
          <t>Tape, corner bead, screws</t>
        </is>
      </c>
      <c r="B106" s="10" t="n"/>
      <c r="C106" s="10" t="n"/>
      <c r="D106" s="11">
        <f>IF(AND(B106="",C106=""),"",C106-B106)</f>
        <v/>
      </c>
      <c r="E106" s="12" t="n"/>
    </row>
    <row r="107">
      <c r="A107" s="9" t="inlineStr">
        <is>
          <t>Texture materials (if applicable)</t>
        </is>
      </c>
      <c r="B107" s="10" t="n"/>
      <c r="C107" s="10" t="n"/>
      <c r="D107" s="11">
        <f>IF(AND(B107="",C107=""),"",C107-B107)</f>
        <v/>
      </c>
      <c r="E107" s="12" t="n"/>
    </row>
    <row r="108">
      <c r="A108" s="9" t="inlineStr">
        <is>
          <t>Drywall labor (hang, tape, finish)</t>
        </is>
      </c>
      <c r="B108" s="10" t="n"/>
      <c r="C108" s="10" t="n"/>
      <c r="D108" s="11">
        <f>IF(AND(B108="",C108=""),"",C108-B108)</f>
        <v/>
      </c>
      <c r="E108" s="12" t="n"/>
    </row>
    <row r="109">
      <c r="A109" s="13" t="inlineStr">
        <is>
          <t>DRYWALL SUBTOTAL</t>
        </is>
      </c>
      <c r="B109" s="14">
        <f>SUM(B104:B108)</f>
        <v/>
      </c>
      <c r="C109" s="14">
        <f>SUM(C104:C108)</f>
        <v/>
      </c>
      <c r="D109" s="14">
        <f>C109-B109</f>
        <v/>
      </c>
      <c r="E109" s="15" t="n"/>
    </row>
    <row r="111" ht="20" customHeight="1">
      <c r="A111" s="7" t="inlineStr">
        <is>
          <t>DOORS &amp; INTERIOR TRIM</t>
        </is>
      </c>
      <c r="B111" s="8" t="n"/>
      <c r="C111" s="8" t="n"/>
      <c r="D111" s="8" t="n"/>
      <c r="E111" s="8" t="n"/>
    </row>
    <row r="112">
      <c r="A112" s="9" t="inlineStr">
        <is>
          <t>Interior doors (slab and pre-hung)</t>
        </is>
      </c>
      <c r="B112" s="10" t="n"/>
      <c r="C112" s="10" t="n"/>
      <c r="D112" s="11">
        <f>IF(AND(B112="",C112=""),"",C112-B112)</f>
        <v/>
      </c>
      <c r="E112" s="12" t="n"/>
    </row>
    <row r="113">
      <c r="A113" s="9" t="inlineStr">
        <is>
          <t>Door hardware (knobs, hinges, locks)</t>
        </is>
      </c>
      <c r="B113" s="10" t="n"/>
      <c r="C113" s="10" t="n"/>
      <c r="D113" s="11">
        <f>IF(AND(B113="",C113=""),"",C113-B113)</f>
        <v/>
      </c>
      <c r="E113" s="12" t="n"/>
    </row>
    <row r="114">
      <c r="A114" s="9" t="inlineStr">
        <is>
          <t>Baseboards</t>
        </is>
      </c>
      <c r="B114" s="10" t="n"/>
      <c r="C114" s="10" t="n"/>
      <c r="D114" s="11">
        <f>IF(AND(B114="",C114=""),"",C114-B114)</f>
        <v/>
      </c>
      <c r="E114" s="12" t="n"/>
    </row>
    <row r="115">
      <c r="A115" s="9" t="inlineStr">
        <is>
          <t>Window and door casing</t>
        </is>
      </c>
      <c r="B115" s="10" t="n"/>
      <c r="C115" s="10" t="n"/>
      <c r="D115" s="11">
        <f>IF(AND(B115="",C115=""),"",C115-B115)</f>
        <v/>
      </c>
      <c r="E115" s="12" t="n"/>
    </row>
    <row r="116">
      <c r="A116" s="9" t="inlineStr">
        <is>
          <t>Crown molding (if applicable)</t>
        </is>
      </c>
      <c r="B116" s="10" t="n"/>
      <c r="C116" s="10" t="n"/>
      <c r="D116" s="11">
        <f>IF(AND(B116="",C116=""),"",C116-B116)</f>
        <v/>
      </c>
      <c r="E116" s="12" t="n"/>
    </row>
    <row r="117">
      <c r="A117" s="9" t="inlineStr">
        <is>
          <t>Closet shelving and rods</t>
        </is>
      </c>
      <c r="B117" s="10" t="n"/>
      <c r="C117" s="10" t="n"/>
      <c r="D117" s="11">
        <f>IF(AND(B117="",C117=""),"",C117-B117)</f>
        <v/>
      </c>
      <c r="E117" s="12" t="n"/>
    </row>
    <row r="118">
      <c r="A118" s="9" t="inlineStr">
        <is>
          <t>Trim labor (if subbed)</t>
        </is>
      </c>
      <c r="B118" s="10" t="n"/>
      <c r="C118" s="10" t="n"/>
      <c r="D118" s="11">
        <f>IF(AND(B118="",C118=""),"",C118-B118)</f>
        <v/>
      </c>
      <c r="E118" s="12" t="n"/>
    </row>
    <row r="119">
      <c r="A119" s="13" t="inlineStr">
        <is>
          <t>DOORS &amp; INTERIOR TRIM SUBTOTAL</t>
        </is>
      </c>
      <c r="B119" s="14">
        <f>SUM(B112:B118)</f>
        <v/>
      </c>
      <c r="C119" s="14">
        <f>SUM(C112:C118)</f>
        <v/>
      </c>
      <c r="D119" s="14">
        <f>C119-B119</f>
        <v/>
      </c>
      <c r="E119" s="15" t="n"/>
    </row>
    <row r="121" ht="20" customHeight="1">
      <c r="A121" s="7" t="inlineStr">
        <is>
          <t>FLOORING</t>
        </is>
      </c>
      <c r="B121" s="8" t="n"/>
      <c r="C121" s="8" t="n"/>
      <c r="D121" s="8" t="n"/>
      <c r="E121" s="8" t="n"/>
    </row>
    <row r="122">
      <c r="A122" s="9" t="inlineStr">
        <is>
          <t>LVP / vinyl plank flooring</t>
        </is>
      </c>
      <c r="B122" s="10" t="n"/>
      <c r="C122" s="10" t="n"/>
      <c r="D122" s="11">
        <f>IF(AND(B122="",C122=""),"",C122-B122)</f>
        <v/>
      </c>
      <c r="E122" s="12" t="n"/>
    </row>
    <row r="123">
      <c r="A123" s="9" t="inlineStr">
        <is>
          <t>Tile (bathroom, kitchen, entry)</t>
        </is>
      </c>
      <c r="B123" s="10" t="n"/>
      <c r="C123" s="10" t="n"/>
      <c r="D123" s="11">
        <f>IF(AND(B123="",C123=""),"",C123-B123)</f>
        <v/>
      </c>
      <c r="E123" s="12" t="n"/>
    </row>
    <row r="124">
      <c r="A124" s="9" t="inlineStr">
        <is>
          <t>Hardwood flooring</t>
        </is>
      </c>
      <c r="B124" s="10" t="n"/>
      <c r="C124" s="10" t="n"/>
      <c r="D124" s="11">
        <f>IF(AND(B124="",C124=""),"",C124-B124)</f>
        <v/>
      </c>
      <c r="E124" s="12" t="n"/>
    </row>
    <row r="125">
      <c r="A125" s="9" t="inlineStr">
        <is>
          <t>Carpet (bedrooms, stairs)</t>
        </is>
      </c>
      <c r="B125" s="10" t="n"/>
      <c r="C125" s="10" t="n"/>
      <c r="D125" s="11">
        <f>IF(AND(B125="",C125=""),"",C125-B125)</f>
        <v/>
      </c>
      <c r="E125" s="12" t="n"/>
    </row>
    <row r="126">
      <c r="A126" s="9" t="inlineStr">
        <is>
          <t>Underlayment and adhesives</t>
        </is>
      </c>
      <c r="B126" s="10" t="n"/>
      <c r="C126" s="10" t="n"/>
      <c r="D126" s="11">
        <f>IF(AND(B126="",C126=""),"",C126-B126)</f>
        <v/>
      </c>
      <c r="E126" s="12" t="n"/>
    </row>
    <row r="127">
      <c r="A127" s="9" t="inlineStr">
        <is>
          <t>Flooring labor (if subbed)</t>
        </is>
      </c>
      <c r="B127" s="10" t="n"/>
      <c r="C127" s="10" t="n"/>
      <c r="D127" s="11">
        <f>IF(AND(B127="",C127=""),"",C127-B127)</f>
        <v/>
      </c>
      <c r="E127" s="12" t="n"/>
    </row>
    <row r="128">
      <c r="A128" s="13" t="inlineStr">
        <is>
          <t>FLOORING SUBTOTAL</t>
        </is>
      </c>
      <c r="B128" s="14">
        <f>SUM(B122:B127)</f>
        <v/>
      </c>
      <c r="C128" s="14">
        <f>SUM(C122:C127)</f>
        <v/>
      </c>
      <c r="D128" s="14">
        <f>C128-B128</f>
        <v/>
      </c>
      <c r="E128" s="15" t="n"/>
    </row>
    <row r="130" ht="20" customHeight="1">
      <c r="A130" s="7" t="inlineStr">
        <is>
          <t>CABINETS &amp; COUNTERTOPS</t>
        </is>
      </c>
      <c r="B130" s="8" t="n"/>
      <c r="C130" s="8" t="n"/>
      <c r="D130" s="8" t="n"/>
      <c r="E130" s="8" t="n"/>
    </row>
    <row r="131">
      <c r="A131" s="9" t="inlineStr">
        <is>
          <t>Kitchen cabinets (base and upper)</t>
        </is>
      </c>
      <c r="B131" s="10" t="n"/>
      <c r="C131" s="10" t="n"/>
      <c r="D131" s="11">
        <f>IF(AND(B131="",C131=""),"",C131-B131)</f>
        <v/>
      </c>
      <c r="E131" s="12" t="n"/>
    </row>
    <row r="132">
      <c r="A132" s="9" t="inlineStr">
        <is>
          <t>Bathroom vanities</t>
        </is>
      </c>
      <c r="B132" s="10" t="n"/>
      <c r="C132" s="10" t="n"/>
      <c r="D132" s="11">
        <f>IF(AND(B132="",C132=""),"",C132-B132)</f>
        <v/>
      </c>
      <c r="E132" s="12" t="n"/>
    </row>
    <row r="133">
      <c r="A133" s="9" t="inlineStr">
        <is>
          <t>Kitchen countertops</t>
        </is>
      </c>
      <c r="B133" s="10" t="n"/>
      <c r="C133" s="10" t="n"/>
      <c r="D133" s="11">
        <f>IF(AND(B133="",C133=""),"",C133-B133)</f>
        <v/>
      </c>
      <c r="E133" s="12" t="n"/>
    </row>
    <row r="134">
      <c r="A134" s="9" t="inlineStr">
        <is>
          <t>Bathroom countertops</t>
        </is>
      </c>
      <c r="B134" s="10" t="n"/>
      <c r="C134" s="10" t="n"/>
      <c r="D134" s="11">
        <f>IF(AND(B134="",C134=""),"",C134-B134)</f>
        <v/>
      </c>
      <c r="E134" s="12" t="n"/>
    </row>
    <row r="135">
      <c r="A135" s="9" t="inlineStr">
        <is>
          <t>Cabinet hardware (pulls, hinges)</t>
        </is>
      </c>
      <c r="B135" s="10" t="n"/>
      <c r="C135" s="10" t="n"/>
      <c r="D135" s="11">
        <f>IF(AND(B135="",C135=""),"",C135-B135)</f>
        <v/>
      </c>
      <c r="E135" s="12" t="n"/>
    </row>
    <row r="136">
      <c r="A136" s="9" t="inlineStr">
        <is>
          <t>Cabinet installation labor (if subbed)</t>
        </is>
      </c>
      <c r="B136" s="10" t="n"/>
      <c r="C136" s="10" t="n"/>
      <c r="D136" s="11">
        <f>IF(AND(B136="",C136=""),"",C136-B136)</f>
        <v/>
      </c>
      <c r="E136" s="12" t="n"/>
    </row>
    <row r="137">
      <c r="A137" s="13" t="inlineStr">
        <is>
          <t>CABINETS &amp; COUNTERTOPS SUBTOTAL</t>
        </is>
      </c>
      <c r="B137" s="14">
        <f>SUM(B131:B136)</f>
        <v/>
      </c>
      <c r="C137" s="14">
        <f>SUM(C131:C136)</f>
        <v/>
      </c>
      <c r="D137" s="14">
        <f>C137-B137</f>
        <v/>
      </c>
      <c r="E137" s="15" t="n"/>
    </row>
    <row r="139" ht="20" customHeight="1">
      <c r="A139" s="7" t="inlineStr">
        <is>
          <t>PLUMBING FIXTURES</t>
        </is>
      </c>
      <c r="B139" s="8" t="n"/>
      <c r="C139" s="8" t="n"/>
      <c r="D139" s="8" t="n"/>
      <c r="E139" s="8" t="n"/>
    </row>
    <row r="140">
      <c r="A140" s="9" t="inlineStr">
        <is>
          <t>Kitchen sink and faucet</t>
        </is>
      </c>
      <c r="B140" s="10" t="n"/>
      <c r="C140" s="10" t="n"/>
      <c r="D140" s="11">
        <f>IF(AND(B140="",C140=""),"",C140-B140)</f>
        <v/>
      </c>
      <c r="E140" s="12" t="n"/>
    </row>
    <row r="141">
      <c r="A141" s="9" t="inlineStr">
        <is>
          <t>Bathroom sinks and faucets</t>
        </is>
      </c>
      <c r="B141" s="10" t="n"/>
      <c r="C141" s="10" t="n"/>
      <c r="D141" s="11">
        <f>IF(AND(B141="",C141=""),"",C141-B141)</f>
        <v/>
      </c>
      <c r="E141" s="12" t="n"/>
    </row>
    <row r="142">
      <c r="A142" s="9" t="inlineStr">
        <is>
          <t>Toilets</t>
        </is>
      </c>
      <c r="B142" s="10" t="n"/>
      <c r="C142" s="10" t="n"/>
      <c r="D142" s="11">
        <f>IF(AND(B142="",C142=""),"",C142-B142)</f>
        <v/>
      </c>
      <c r="E142" s="12" t="n"/>
    </row>
    <row r="143">
      <c r="A143" s="9" t="inlineStr">
        <is>
          <t>Bathtubs</t>
        </is>
      </c>
      <c r="B143" s="10" t="n"/>
      <c r="C143" s="10" t="n"/>
      <c r="D143" s="11">
        <f>IF(AND(B143="",C143=""),"",C143-B143)</f>
        <v/>
      </c>
      <c r="E143" s="12" t="n"/>
    </row>
    <row r="144">
      <c r="A144" s="9" t="inlineStr">
        <is>
          <t>Shower enclosures and doors</t>
        </is>
      </c>
      <c r="B144" s="10" t="n"/>
      <c r="C144" s="10" t="n"/>
      <c r="D144" s="11">
        <f>IF(AND(B144="",C144=""),"",C144-B144)</f>
        <v/>
      </c>
      <c r="E144" s="12" t="n"/>
    </row>
    <row r="145">
      <c r="A145" s="9" t="inlineStr">
        <is>
          <t>Shower / tub fixtures and valves</t>
        </is>
      </c>
      <c r="B145" s="10" t="n"/>
      <c r="C145" s="10" t="n"/>
      <c r="D145" s="11">
        <f>IF(AND(B145="",C145=""),"",C145-B145)</f>
        <v/>
      </c>
      <c r="E145" s="12" t="n"/>
    </row>
    <row r="146">
      <c r="A146" s="9" t="inlineStr">
        <is>
          <t>Plumbing fixture installation labor</t>
        </is>
      </c>
      <c r="B146" s="10" t="n"/>
      <c r="C146" s="10" t="n"/>
      <c r="D146" s="11">
        <f>IF(AND(B146="",C146=""),"",C146-B146)</f>
        <v/>
      </c>
      <c r="E146" s="12" t="n"/>
    </row>
    <row r="147">
      <c r="A147" s="13" t="inlineStr">
        <is>
          <t>PLUMBING FIXTURES SUBTOTAL</t>
        </is>
      </c>
      <c r="B147" s="14">
        <f>SUM(B140:B146)</f>
        <v/>
      </c>
      <c r="C147" s="14">
        <f>SUM(C140:C146)</f>
        <v/>
      </c>
      <c r="D147" s="14">
        <f>C147-B147</f>
        <v/>
      </c>
      <c r="E147" s="15" t="n"/>
    </row>
    <row r="149" ht="20" customHeight="1">
      <c r="A149" s="7" t="inlineStr">
        <is>
          <t>ELECTRICAL FIXTURES &amp; FINISH</t>
        </is>
      </c>
      <c r="B149" s="8" t="n"/>
      <c r="C149" s="8" t="n"/>
      <c r="D149" s="8" t="n"/>
      <c r="E149" s="8" t="n"/>
    </row>
    <row r="150">
      <c r="A150" s="9" t="inlineStr">
        <is>
          <t>Light fixtures (interior and exterior)</t>
        </is>
      </c>
      <c r="B150" s="10" t="n"/>
      <c r="C150" s="10" t="n"/>
      <c r="D150" s="11">
        <f>IF(AND(B150="",C150=""),"",C150-B150)</f>
        <v/>
      </c>
      <c r="E150" s="12" t="n"/>
    </row>
    <row r="151">
      <c r="A151" s="9" t="inlineStr">
        <is>
          <t>Ceiling fans</t>
        </is>
      </c>
      <c r="B151" s="10" t="n"/>
      <c r="C151" s="10" t="n"/>
      <c r="D151" s="11">
        <f>IF(AND(B151="",C151=""),"",C151-B151)</f>
        <v/>
      </c>
      <c r="E151" s="12" t="n"/>
    </row>
    <row r="152">
      <c r="A152" s="9" t="inlineStr">
        <is>
          <t>Receptacles and switches</t>
        </is>
      </c>
      <c r="B152" s="10" t="n"/>
      <c r="C152" s="10" t="n"/>
      <c r="D152" s="11">
        <f>IF(AND(B152="",C152=""),"",C152-B152)</f>
        <v/>
      </c>
      <c r="E152" s="12" t="n"/>
    </row>
    <row r="153">
      <c r="A153" s="9" t="inlineStr">
        <is>
          <t>Cover plates</t>
        </is>
      </c>
      <c r="B153" s="10" t="n"/>
      <c r="C153" s="10" t="n"/>
      <c r="D153" s="11">
        <f>IF(AND(B153="",C153=""),"",C153-B153)</f>
        <v/>
      </c>
      <c r="E153" s="12" t="n"/>
    </row>
    <row r="154">
      <c r="A154" s="9" t="inlineStr">
        <is>
          <t>Doorbell / smoke / CO detectors</t>
        </is>
      </c>
      <c r="B154" s="10" t="n"/>
      <c r="C154" s="10" t="n"/>
      <c r="D154" s="11">
        <f>IF(AND(B154="",C154=""),"",C154-B154)</f>
        <v/>
      </c>
      <c r="E154" s="12" t="n"/>
    </row>
    <row r="155">
      <c r="A155" s="9" t="inlineStr">
        <is>
          <t>Electrical trim-out labor (if subbed)</t>
        </is>
      </c>
      <c r="B155" s="10" t="n"/>
      <c r="C155" s="10" t="n"/>
      <c r="D155" s="11">
        <f>IF(AND(B155="",C155=""),"",C155-B155)</f>
        <v/>
      </c>
      <c r="E155" s="12" t="n"/>
    </row>
    <row r="156">
      <c r="A156" s="13" t="inlineStr">
        <is>
          <t>ELECTRICAL FIXTURES &amp; FINISH SUBTOTAL</t>
        </is>
      </c>
      <c r="B156" s="14">
        <f>SUM(B150:B155)</f>
        <v/>
      </c>
      <c r="C156" s="14">
        <f>SUM(C150:C155)</f>
        <v/>
      </c>
      <c r="D156" s="14">
        <f>C156-B156</f>
        <v/>
      </c>
      <c r="E156" s="15" t="n"/>
    </row>
    <row r="158" ht="20" customHeight="1">
      <c r="A158" s="7" t="inlineStr">
        <is>
          <t>PAINTING</t>
        </is>
      </c>
      <c r="B158" s="8" t="n"/>
      <c r="C158" s="8" t="n"/>
      <c r="D158" s="8" t="n"/>
      <c r="E158" s="8" t="n"/>
    </row>
    <row r="159">
      <c r="A159" s="9" t="inlineStr">
        <is>
          <t>Interior primer</t>
        </is>
      </c>
      <c r="B159" s="10" t="n"/>
      <c r="C159" s="10" t="n"/>
      <c r="D159" s="11">
        <f>IF(AND(B159="",C159=""),"",C159-B159)</f>
        <v/>
      </c>
      <c r="E159" s="12" t="n"/>
    </row>
    <row r="160">
      <c r="A160" s="9" t="inlineStr">
        <is>
          <t>Interior paint</t>
        </is>
      </c>
      <c r="B160" s="10" t="n"/>
      <c r="C160" s="10" t="n"/>
      <c r="D160" s="11">
        <f>IF(AND(B160="",C160=""),"",C160-B160)</f>
        <v/>
      </c>
      <c r="E160" s="12" t="n"/>
    </row>
    <row r="161">
      <c r="A161" s="9" t="inlineStr">
        <is>
          <t>Exterior primer and paint</t>
        </is>
      </c>
      <c r="B161" s="10" t="n"/>
      <c r="C161" s="10" t="n"/>
      <c r="D161" s="11">
        <f>IF(AND(B161="",C161=""),"",C161-B161)</f>
        <v/>
      </c>
      <c r="E161" s="12" t="n"/>
    </row>
    <row r="162">
      <c r="A162" s="9" t="inlineStr">
        <is>
          <t>Painting supplies (brushes, rollers, tape)</t>
        </is>
      </c>
      <c r="B162" s="10" t="n"/>
      <c r="C162" s="10" t="n"/>
      <c r="D162" s="11">
        <f>IF(AND(B162="",C162=""),"",C162-B162)</f>
        <v/>
      </c>
      <c r="E162" s="12" t="n"/>
    </row>
    <row r="163">
      <c r="A163" s="9" t="inlineStr">
        <is>
          <t>Painting labor (if subbed)</t>
        </is>
      </c>
      <c r="B163" s="10" t="n"/>
      <c r="C163" s="10" t="n"/>
      <c r="D163" s="11">
        <f>IF(AND(B163="",C163=""),"",C163-B163)</f>
        <v/>
      </c>
      <c r="E163" s="12" t="n"/>
    </row>
    <row r="164">
      <c r="A164" s="13" t="inlineStr">
        <is>
          <t>PAINTING SUBTOTAL</t>
        </is>
      </c>
      <c r="B164" s="14">
        <f>SUM(B159:B163)</f>
        <v/>
      </c>
      <c r="C164" s="14">
        <f>SUM(C159:C163)</f>
        <v/>
      </c>
      <c r="D164" s="14">
        <f>C164-B164</f>
        <v/>
      </c>
      <c r="E164" s="15" t="n"/>
    </row>
    <row r="166" ht="20" customHeight="1">
      <c r="A166" s="7" t="inlineStr">
        <is>
          <t>FINISH ITEMS &amp; APPLIANCES</t>
        </is>
      </c>
      <c r="B166" s="8" t="n"/>
      <c r="C166" s="8" t="n"/>
      <c r="D166" s="8" t="n"/>
      <c r="E166" s="8" t="n"/>
    </row>
    <row r="167">
      <c r="A167" s="9" t="inlineStr">
        <is>
          <t>Kitchen appliances (range, fridge, DW)</t>
        </is>
      </c>
      <c r="B167" s="10" t="n"/>
      <c r="C167" s="10" t="n"/>
      <c r="D167" s="11">
        <f>IF(AND(B167="",C167=""),"",C167-B167)</f>
        <v/>
      </c>
      <c r="E167" s="12" t="n"/>
    </row>
    <row r="168">
      <c r="A168" s="9" t="inlineStr">
        <is>
          <t>Microwave / range hood</t>
        </is>
      </c>
      <c r="B168" s="10" t="n"/>
      <c r="C168" s="10" t="n"/>
      <c r="D168" s="11">
        <f>IF(AND(B168="",C168=""),"",C168-B168)</f>
        <v/>
      </c>
      <c r="E168" s="12" t="n"/>
    </row>
    <row r="169">
      <c r="A169" s="9" t="inlineStr">
        <is>
          <t>Laundry appliances (washer / dryer)</t>
        </is>
      </c>
      <c r="B169" s="10" t="n"/>
      <c r="C169" s="10" t="n"/>
      <c r="D169" s="11">
        <f>IF(AND(B169="",C169=""),"",C169-B169)</f>
        <v/>
      </c>
      <c r="E169" s="12" t="n"/>
    </row>
    <row r="170">
      <c r="A170" s="9" t="inlineStr">
        <is>
          <t>Mirrors and shower doors</t>
        </is>
      </c>
      <c r="B170" s="10" t="n"/>
      <c r="C170" s="10" t="n"/>
      <c r="D170" s="11">
        <f>IF(AND(B170="",C170=""),"",C170-B170)</f>
        <v/>
      </c>
      <c r="E170" s="12" t="n"/>
    </row>
    <row r="171">
      <c r="A171" s="9" t="inlineStr">
        <is>
          <t>Tile backsplash materials and labor</t>
        </is>
      </c>
      <c r="B171" s="10" t="n"/>
      <c r="C171" s="10" t="n"/>
      <c r="D171" s="11">
        <f>IF(AND(B171="",C171=""),"",C171-B171)</f>
        <v/>
      </c>
      <c r="E171" s="12" t="n"/>
    </row>
    <row r="172">
      <c r="A172" s="9" t="inlineStr">
        <is>
          <t>Garage door and opener</t>
        </is>
      </c>
      <c r="B172" s="10" t="n"/>
      <c r="C172" s="10" t="n"/>
      <c r="D172" s="11">
        <f>IF(AND(B172="",C172=""),"",C172-B172)</f>
        <v/>
      </c>
      <c r="E172" s="12" t="n"/>
    </row>
    <row r="173">
      <c r="A173" s="9" t="inlineStr">
        <is>
          <t>Deck / patio materials and labor</t>
        </is>
      </c>
      <c r="B173" s="10" t="n"/>
      <c r="C173" s="10" t="n"/>
      <c r="D173" s="11">
        <f>IF(AND(B173="",C173=""),"",C173-B173)</f>
        <v/>
      </c>
      <c r="E173" s="12" t="n"/>
    </row>
    <row r="174">
      <c r="A174" s="13" t="inlineStr">
        <is>
          <t>FINISH ITEMS &amp; APPLIANCES SUBTOTAL</t>
        </is>
      </c>
      <c r="B174" s="14">
        <f>SUM(B167:B173)</f>
        <v/>
      </c>
      <c r="C174" s="14">
        <f>SUM(C167:C173)</f>
        <v/>
      </c>
      <c r="D174" s="14">
        <f>C174-B174</f>
        <v/>
      </c>
      <c r="E174" s="15" t="n"/>
    </row>
    <row r="176" ht="20" customHeight="1">
      <c r="A176" s="7" t="inlineStr">
        <is>
          <t>LANDSCAPING &amp; FINAL SITE WORK</t>
        </is>
      </c>
      <c r="B176" s="8" t="n"/>
      <c r="C176" s="8" t="n"/>
      <c r="D176" s="8" t="n"/>
      <c r="E176" s="8" t="n"/>
    </row>
    <row r="177">
      <c r="A177" s="9" t="inlineStr">
        <is>
          <t>Final grading and drainage</t>
        </is>
      </c>
      <c r="B177" s="10" t="n"/>
      <c r="C177" s="10" t="n"/>
      <c r="D177" s="11">
        <f>IF(AND(B177="",C177=""),"",C177-B177)</f>
        <v/>
      </c>
      <c r="E177" s="12" t="n"/>
    </row>
    <row r="178">
      <c r="A178" s="9" t="inlineStr">
        <is>
          <t>Topsoil and seeding / sod</t>
        </is>
      </c>
      <c r="B178" s="10" t="n"/>
      <c r="C178" s="10" t="n"/>
      <c r="D178" s="11">
        <f>IF(AND(B178="",C178=""),"",C178-B178)</f>
        <v/>
      </c>
      <c r="E178" s="12" t="n"/>
    </row>
    <row r="179">
      <c r="A179" s="9" t="inlineStr">
        <is>
          <t>Trees, shrubs, and plantings</t>
        </is>
      </c>
      <c r="B179" s="10" t="n"/>
      <c r="C179" s="10" t="n"/>
      <c r="D179" s="11">
        <f>IF(AND(B179="",C179=""),"",C179-B179)</f>
        <v/>
      </c>
      <c r="E179" s="12" t="n"/>
    </row>
    <row r="180">
      <c r="A180" s="9" t="inlineStr">
        <is>
          <t>Mulch and landscape fabric</t>
        </is>
      </c>
      <c r="B180" s="10" t="n"/>
      <c r="C180" s="10" t="n"/>
      <c r="D180" s="11">
        <f>IF(AND(B180="",C180=""),"",C180-B180)</f>
        <v/>
      </c>
      <c r="E180" s="12" t="n"/>
    </row>
    <row r="181">
      <c r="A181" s="9" t="inlineStr">
        <is>
          <t>Driveway paving / concrete</t>
        </is>
      </c>
      <c r="B181" s="10" t="n"/>
      <c r="C181" s="10" t="n"/>
      <c r="D181" s="11">
        <f>IF(AND(B181="",C181=""),"",C181-B181)</f>
        <v/>
      </c>
      <c r="E181" s="12" t="n"/>
    </row>
    <row r="182">
      <c r="A182" s="9" t="inlineStr">
        <is>
          <t>Walkways and steps</t>
        </is>
      </c>
      <c r="B182" s="10" t="n"/>
      <c r="C182" s="10" t="n"/>
      <c r="D182" s="11">
        <f>IF(AND(B182="",C182=""),"",C182-B182)</f>
        <v/>
      </c>
      <c r="E182" s="12" t="n"/>
    </row>
    <row r="183">
      <c r="A183" s="9" t="inlineStr">
        <is>
          <t>Mailbox and house numbers</t>
        </is>
      </c>
      <c r="B183" s="10" t="n"/>
      <c r="C183" s="10" t="n"/>
      <c r="D183" s="11">
        <f>IF(AND(B183="",C183=""),"",C183-B183)</f>
        <v/>
      </c>
      <c r="E183" s="12" t="n"/>
    </row>
    <row r="184">
      <c r="A184" s="13" t="inlineStr">
        <is>
          <t>LANDSCAPING &amp; FINAL SITE WORK SUBTOTAL</t>
        </is>
      </c>
      <c r="B184" s="14">
        <f>SUM(B177:B183)</f>
        <v/>
      </c>
      <c r="C184" s="14">
        <f>SUM(C177:C183)</f>
        <v/>
      </c>
      <c r="D184" s="14">
        <f>C184-B184</f>
        <v/>
      </c>
      <c r="E184" s="15" t="n"/>
    </row>
    <row r="186" ht="20" customHeight="1">
      <c r="A186" s="7" t="inlineStr">
        <is>
          <t>PERMITS, FEES &amp; INSURANCE</t>
        </is>
      </c>
      <c r="B186" s="8" t="n"/>
      <c r="C186" s="8" t="n"/>
      <c r="D186" s="8" t="n"/>
      <c r="E186" s="8" t="n"/>
    </row>
    <row r="187">
      <c r="A187" s="9" t="inlineStr">
        <is>
          <t>Building permit</t>
        </is>
      </c>
      <c r="B187" s="10" t="n"/>
      <c r="C187" s="10" t="n"/>
      <c r="D187" s="11">
        <f>IF(AND(B187="",C187=""),"",C187-B187)</f>
        <v/>
      </c>
      <c r="E187" s="12" t="n"/>
    </row>
    <row r="188">
      <c r="A188" s="9" t="inlineStr">
        <is>
          <t>Electrical permit</t>
        </is>
      </c>
      <c r="B188" s="10" t="n"/>
      <c r="C188" s="10" t="n"/>
      <c r="D188" s="11">
        <f>IF(AND(B188="",C188=""),"",C188-B188)</f>
        <v/>
      </c>
      <c r="E188" s="12" t="n"/>
    </row>
    <row r="189">
      <c r="A189" s="9" t="inlineStr">
        <is>
          <t>Plumbing permit</t>
        </is>
      </c>
      <c r="B189" s="10" t="n"/>
      <c r="C189" s="10" t="n"/>
      <c r="D189" s="11">
        <f>IF(AND(B189="",C189=""),"",C189-B189)</f>
        <v/>
      </c>
      <c r="E189" s="12" t="n"/>
    </row>
    <row r="190">
      <c r="A190" s="9" t="inlineStr">
        <is>
          <t>Mechanical / HVAC permit</t>
        </is>
      </c>
      <c r="B190" s="10" t="n"/>
      <c r="C190" s="10" t="n"/>
      <c r="D190" s="11">
        <f>IF(AND(B190="",C190=""),"",C190-B190)</f>
        <v/>
      </c>
      <c r="E190" s="12" t="n"/>
    </row>
    <row r="191">
      <c r="A191" s="9" t="inlineStr">
        <is>
          <t>Septic / well permits</t>
        </is>
      </c>
      <c r="B191" s="10" t="n"/>
      <c r="C191" s="10" t="n"/>
      <c r="D191" s="11">
        <f>IF(AND(B191="",C191=""),"",C191-B191)</f>
        <v/>
      </c>
      <c r="E191" s="12" t="n"/>
    </row>
    <row r="192">
      <c r="A192" s="9" t="inlineStr">
        <is>
          <t>Impact / tap fees (water, sewer)</t>
        </is>
      </c>
      <c r="B192" s="10" t="n"/>
      <c r="C192" s="10" t="n"/>
      <c r="D192" s="11">
        <f>IF(AND(B192="",C192=""),"",C192-B192)</f>
        <v/>
      </c>
      <c r="E192" s="12" t="n"/>
    </row>
    <row r="193">
      <c r="A193" s="9" t="inlineStr">
        <is>
          <t>Builder's risk insurance</t>
        </is>
      </c>
      <c r="B193" s="10" t="n"/>
      <c r="C193" s="10" t="n"/>
      <c r="D193" s="11">
        <f>IF(AND(B193="",C193=""),"",C193-B193)</f>
        <v/>
      </c>
      <c r="E193" s="12" t="n"/>
    </row>
    <row r="194">
      <c r="A194" s="9" t="inlineStr">
        <is>
          <t>General liability insurance</t>
        </is>
      </c>
      <c r="B194" s="10" t="n"/>
      <c r="C194" s="10" t="n"/>
      <c r="D194" s="11">
        <f>IF(AND(B194="",C194=""),"",C194-B194)</f>
        <v/>
      </c>
      <c r="E194" s="12" t="n"/>
    </row>
    <row r="195">
      <c r="A195" s="9" t="inlineStr">
        <is>
          <t>Plan review / engineering fees</t>
        </is>
      </c>
      <c r="B195" s="10" t="n"/>
      <c r="C195" s="10" t="n"/>
      <c r="D195" s="11">
        <f>IF(AND(B195="",C195=""),"",C195-B195)</f>
        <v/>
      </c>
      <c r="E195" s="12" t="n"/>
    </row>
    <row r="196">
      <c r="A196" s="13" t="inlineStr">
        <is>
          <t>PERMITS, FEES &amp; INSURANCE SUBTOTAL</t>
        </is>
      </c>
      <c r="B196" s="14">
        <f>SUM(B187:B195)</f>
        <v/>
      </c>
      <c r="C196" s="14">
        <f>SUM(C187:C195)</f>
        <v/>
      </c>
      <c r="D196" s="14">
        <f>C196-B196</f>
        <v/>
      </c>
      <c r="E196" s="15" t="n"/>
    </row>
    <row r="198" ht="20" customHeight="1">
      <c r="A198" s="7" t="inlineStr">
        <is>
          <t>CONTINGENCY &amp; MISCELLANEOUS</t>
        </is>
      </c>
      <c r="B198" s="8" t="n"/>
      <c r="C198" s="8" t="n"/>
      <c r="D198" s="8" t="n"/>
      <c r="E198" s="8" t="n"/>
    </row>
    <row r="199">
      <c r="A199" s="9" t="inlineStr">
        <is>
          <t>Contingency fund (10–15% recommended)</t>
        </is>
      </c>
      <c r="B199" s="10" t="n"/>
      <c r="C199" s="10" t="n"/>
      <c r="D199" s="11">
        <f>IF(AND(B199="",C199=""),"",C199-B199)</f>
        <v/>
      </c>
      <c r="E199" s="12" t="n"/>
    </row>
    <row r="200">
      <c r="A200" s="9" t="inlineStr">
        <is>
          <t>Tool purchases / rentals</t>
        </is>
      </c>
      <c r="B200" s="10" t="n"/>
      <c r="C200" s="10" t="n"/>
      <c r="D200" s="11">
        <f>IF(AND(B200="",C200=""),"",C200-B200)</f>
        <v/>
      </c>
      <c r="E200" s="12" t="n"/>
    </row>
    <row r="201">
      <c r="A201" s="9" t="inlineStr">
        <is>
          <t>Miscellaneous supplies</t>
        </is>
      </c>
      <c r="B201" s="10" t="n"/>
      <c r="C201" s="10" t="n"/>
      <c r="D201" s="11">
        <f>IF(AND(B201="",C201=""),"",C201-B201)</f>
        <v/>
      </c>
      <c r="E201" s="12" t="n"/>
    </row>
    <row r="202">
      <c r="A202" s="9" t="inlineStr">
        <is>
          <t>Cleanup and waste removal</t>
        </is>
      </c>
      <c r="B202" s="10" t="n"/>
      <c r="C202" s="10" t="n"/>
      <c r="D202" s="11">
        <f>IF(AND(B202="",C202=""),"",C202-B202)</f>
        <v/>
      </c>
      <c r="E202" s="12" t="n"/>
    </row>
    <row r="203">
      <c r="A203" s="9" t="inlineStr">
        <is>
          <t>Inspection fees (beyond permit costs)</t>
        </is>
      </c>
      <c r="B203" s="10" t="n"/>
      <c r="C203" s="10" t="n"/>
      <c r="D203" s="11">
        <f>IF(AND(B203="",C203=""),"",C203-B203)</f>
        <v/>
      </c>
      <c r="E203" s="12" t="n"/>
    </row>
    <row r="204">
      <c r="A204" s="9" t="inlineStr">
        <is>
          <t>Other</t>
        </is>
      </c>
      <c r="B204" s="10" t="n"/>
      <c r="C204" s="10" t="n"/>
      <c r="D204" s="11">
        <f>IF(AND(B204="",C204=""),"",C204-B204)</f>
        <v/>
      </c>
      <c r="E204" s="12" t="n"/>
    </row>
    <row r="205">
      <c r="A205" s="9" t="inlineStr">
        <is>
          <t>Other</t>
        </is>
      </c>
      <c r="B205" s="10" t="n"/>
      <c r="C205" s="10" t="n"/>
      <c r="D205" s="11">
        <f>IF(AND(B205="",C205=""),"",C205-B205)</f>
        <v/>
      </c>
      <c r="E205" s="12" t="n"/>
    </row>
    <row r="206">
      <c r="A206" s="13" t="inlineStr">
        <is>
          <t>CONTINGENCY &amp; MISCELLANEOUS SUBTOTAL</t>
        </is>
      </c>
      <c r="B206" s="14">
        <f>SUM(B199:B205)</f>
        <v/>
      </c>
      <c r="C206" s="14">
        <f>SUM(C199:C205)</f>
        <v/>
      </c>
      <c r="D206" s="14">
        <f>C206-B206</f>
        <v/>
      </c>
      <c r="E206" s="15" t="n"/>
    </row>
    <row r="208" ht="22" customHeight="1">
      <c r="A208" s="16" t="inlineStr">
        <is>
          <t>GRAND TOTAL — ALL CATEGORIES</t>
        </is>
      </c>
      <c r="B208" s="17">
        <f>B14+B25+B41+B52+B61+B71+B79+B86+B94+B101+B109+B119+B128+B137+B147+B156+B164+B174+B184+B196+B206</f>
        <v/>
      </c>
      <c r="C208" s="17">
        <f>C14+C25+C41+C52+C61+C71+C79+C86+C94+C101+C109+C119+C128+C137+C147+C156+C164+C174+C184+C196+C206</f>
        <v/>
      </c>
      <c r="D208" s="17">
        <f>C208-B208</f>
        <v/>
      </c>
      <c r="E208" s="18" t="n"/>
    </row>
    <row r="210">
      <c r="A210" s="3" t="inlineStr">
        <is>
          <t>Total variance (Actual − Estimated)</t>
        </is>
      </c>
      <c r="C210" s="14">
        <f>C208-B208</f>
        <v/>
      </c>
    </row>
    <row r="211">
      <c r="A211" s="3" t="inlineStr">
        <is>
          <t>Remaining budget available</t>
        </is>
      </c>
      <c r="C211" s="14">
        <f>IF($E$4="","",$E$4-C208)</f>
        <v/>
      </c>
    </row>
    <row r="212">
      <c r="A212" s="3" t="inlineStr">
        <is>
          <t>Percentage of total budget used</t>
        </is>
      </c>
      <c r="C212" s="19">
        <f>IF($E$4="","",C208/$E$4)</f>
        <v/>
      </c>
    </row>
    <row r="214">
      <c r="A214" s="2" t="inlineStr">
        <is>
          <t>Yellow cells are for your entries. White cells calculate automatically — leave them alone.</t>
        </is>
      </c>
    </row>
    <row r="215">
      <c r="A215" s="2" t="inlineStr">
        <is>
          <t>© 2026 Build Your House · build-your-house.com</t>
        </is>
      </c>
    </row>
  </sheetData>
  <mergeCells count="3">
    <mergeCell ref="A2:E2"/>
    <mergeCell ref="A1:E1"/>
    <mergeCell ref="A215:E215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Build Your House</dc:creator>
  <dc:title xmlns:dc="http://purl.org/dc/elements/1.1/">1.2-budget-tracking-spreadsheet</dc:title>
  <dcterms:created xmlns:dcterms="http://purl.org/dc/terms/" xmlns:xsi="http://www.w3.org/2001/XMLSchema-instance" xsi:type="dcterms:W3CDTF">2026-08-05T01:30:30Z</dcterms:created>
  <dcterms:modified xmlns:dcterms="http://purl.org/dc/terms/" xmlns:xsi="http://www.w3.org/2001/XMLSchema-instance" xsi:type="dcterms:W3CDTF">2026-08-05T01:30:30Z</dcterms:modified>
</cp:coreProperties>
</file>